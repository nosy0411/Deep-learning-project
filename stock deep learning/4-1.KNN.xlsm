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(R)금융데이터마이닝\실습파일\"/>
    </mc:Choice>
  </mc:AlternateContent>
  <bookViews>
    <workbookView xWindow="1290" yWindow="1035" windowWidth="22635" windowHeight="9195" activeTab="1"/>
  </bookViews>
  <sheets>
    <sheet name="KNN" sheetId="1" r:id="rId1"/>
    <sheet name="주가방향예측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I7" i="2" l="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6" i="2"/>
  <c r="L7" i="2" l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6" i="2"/>
  <c r="K7" i="2"/>
  <c r="J7" i="2" s="1"/>
  <c r="K8" i="2"/>
  <c r="J8" i="2" s="1"/>
  <c r="K9" i="2"/>
  <c r="J9" i="2" s="1"/>
  <c r="K10" i="2"/>
  <c r="J10" i="2" s="1"/>
  <c r="K11" i="2"/>
  <c r="J11" i="2" s="1"/>
  <c r="K12" i="2"/>
  <c r="J12" i="2" s="1"/>
  <c r="K13" i="2"/>
  <c r="J13" i="2" s="1"/>
  <c r="K14" i="2"/>
  <c r="K15" i="2"/>
  <c r="J15" i="2" s="1"/>
  <c r="K16" i="2"/>
  <c r="J16" i="2" s="1"/>
  <c r="K17" i="2"/>
  <c r="J17" i="2" s="1"/>
  <c r="K18" i="2"/>
  <c r="J18" i="2" s="1"/>
  <c r="K19" i="2"/>
  <c r="J19" i="2" s="1"/>
  <c r="K20" i="2"/>
  <c r="J20" i="2" s="1"/>
  <c r="K21" i="2"/>
  <c r="J21" i="2" s="1"/>
  <c r="K22" i="2"/>
  <c r="K23" i="2"/>
  <c r="J23" i="2" s="1"/>
  <c r="K24" i="2"/>
  <c r="J24" i="2" s="1"/>
  <c r="K25" i="2"/>
  <c r="J25" i="2" s="1"/>
  <c r="K26" i="2"/>
  <c r="J26" i="2" s="1"/>
  <c r="K27" i="2"/>
  <c r="J27" i="2" s="1"/>
  <c r="K28" i="2"/>
  <c r="J28" i="2" s="1"/>
  <c r="K29" i="2"/>
  <c r="J29" i="2" s="1"/>
  <c r="K30" i="2"/>
  <c r="K31" i="2"/>
  <c r="J31" i="2" s="1"/>
  <c r="K32" i="2"/>
  <c r="J32" i="2" s="1"/>
  <c r="K33" i="2"/>
  <c r="J33" i="2" s="1"/>
  <c r="K34" i="2"/>
  <c r="J34" i="2" s="1"/>
  <c r="K35" i="2"/>
  <c r="J35" i="2" s="1"/>
  <c r="K36" i="2"/>
  <c r="J36" i="2" s="1"/>
  <c r="K37" i="2"/>
  <c r="J37" i="2" s="1"/>
  <c r="K38" i="2"/>
  <c r="K39" i="2"/>
  <c r="J39" i="2" s="1"/>
  <c r="K40" i="2"/>
  <c r="J40" i="2" s="1"/>
  <c r="K41" i="2"/>
  <c r="J41" i="2" s="1"/>
  <c r="K42" i="2"/>
  <c r="J42" i="2" s="1"/>
  <c r="K43" i="2"/>
  <c r="J43" i="2" s="1"/>
  <c r="K44" i="2"/>
  <c r="J44" i="2" s="1"/>
  <c r="K45" i="2"/>
  <c r="J45" i="2" s="1"/>
  <c r="K46" i="2"/>
  <c r="K47" i="2"/>
  <c r="J47" i="2" s="1"/>
  <c r="K48" i="2"/>
  <c r="J48" i="2" s="1"/>
  <c r="K49" i="2"/>
  <c r="J49" i="2" s="1"/>
  <c r="K50" i="2"/>
  <c r="J50" i="2" s="1"/>
  <c r="K51" i="2"/>
  <c r="J51" i="2" s="1"/>
  <c r="K52" i="2"/>
  <c r="J52" i="2" s="1"/>
  <c r="K53" i="2"/>
  <c r="J53" i="2" s="1"/>
  <c r="K54" i="2"/>
  <c r="K55" i="2"/>
  <c r="J55" i="2" s="1"/>
  <c r="K56" i="2"/>
  <c r="J56" i="2" s="1"/>
  <c r="K57" i="2"/>
  <c r="J57" i="2" s="1"/>
  <c r="K58" i="2"/>
  <c r="J58" i="2" s="1"/>
  <c r="K59" i="2"/>
  <c r="J59" i="2" s="1"/>
  <c r="K60" i="2"/>
  <c r="J60" i="2" s="1"/>
  <c r="K61" i="2"/>
  <c r="J61" i="2" s="1"/>
  <c r="K62" i="2"/>
  <c r="K63" i="2"/>
  <c r="J63" i="2" s="1"/>
  <c r="K64" i="2"/>
  <c r="J64" i="2" s="1"/>
  <c r="K65" i="2"/>
  <c r="J65" i="2" s="1"/>
  <c r="K66" i="2"/>
  <c r="J66" i="2" s="1"/>
  <c r="K67" i="2"/>
  <c r="J67" i="2" s="1"/>
  <c r="K68" i="2"/>
  <c r="J68" i="2" s="1"/>
  <c r="K69" i="2"/>
  <c r="J69" i="2" s="1"/>
  <c r="K70" i="2"/>
  <c r="K71" i="2"/>
  <c r="J71" i="2" s="1"/>
  <c r="K72" i="2"/>
  <c r="J72" i="2" s="1"/>
  <c r="K73" i="2"/>
  <c r="J73" i="2" s="1"/>
  <c r="K74" i="2"/>
  <c r="J74" i="2" s="1"/>
  <c r="K75" i="2"/>
  <c r="J75" i="2" s="1"/>
  <c r="K76" i="2"/>
  <c r="J76" i="2" s="1"/>
  <c r="K77" i="2"/>
  <c r="J77" i="2" s="1"/>
  <c r="K78" i="2"/>
  <c r="K79" i="2"/>
  <c r="J79" i="2" s="1"/>
  <c r="K80" i="2"/>
  <c r="J80" i="2" s="1"/>
  <c r="K81" i="2"/>
  <c r="J81" i="2" s="1"/>
  <c r="K82" i="2"/>
  <c r="J82" i="2" s="1"/>
  <c r="K83" i="2"/>
  <c r="J83" i="2" s="1"/>
  <c r="K84" i="2"/>
  <c r="J84" i="2" s="1"/>
  <c r="K85" i="2"/>
  <c r="J85" i="2" s="1"/>
  <c r="K86" i="2"/>
  <c r="K87" i="2"/>
  <c r="J87" i="2" s="1"/>
  <c r="K88" i="2"/>
  <c r="J88" i="2" s="1"/>
  <c r="K89" i="2"/>
  <c r="J89" i="2" s="1"/>
  <c r="K90" i="2"/>
  <c r="J90" i="2" s="1"/>
  <c r="K91" i="2"/>
  <c r="J91" i="2" s="1"/>
  <c r="K92" i="2"/>
  <c r="J92" i="2" s="1"/>
  <c r="K93" i="2"/>
  <c r="J93" i="2" s="1"/>
  <c r="K94" i="2"/>
  <c r="K95" i="2"/>
  <c r="J95" i="2" s="1"/>
  <c r="K96" i="2"/>
  <c r="J96" i="2" s="1"/>
  <c r="K97" i="2"/>
  <c r="J97" i="2" s="1"/>
  <c r="K98" i="2"/>
  <c r="J98" i="2" s="1"/>
  <c r="K99" i="2"/>
  <c r="J99" i="2" s="1"/>
  <c r="K100" i="2"/>
  <c r="J100" i="2" s="1"/>
  <c r="K101" i="2"/>
  <c r="J101" i="2" s="1"/>
  <c r="K102" i="2"/>
  <c r="K103" i="2"/>
  <c r="J103" i="2" s="1"/>
  <c r="K104" i="2"/>
  <c r="J104" i="2" s="1"/>
  <c r="K105" i="2"/>
  <c r="J105" i="2" s="1"/>
  <c r="K106" i="2"/>
  <c r="J106" i="2" s="1"/>
  <c r="K107" i="2"/>
  <c r="J107" i="2" s="1"/>
  <c r="K108" i="2"/>
  <c r="J108" i="2" s="1"/>
  <c r="K109" i="2"/>
  <c r="J109" i="2" s="1"/>
  <c r="K110" i="2"/>
  <c r="K111" i="2"/>
  <c r="J111" i="2" s="1"/>
  <c r="K112" i="2"/>
  <c r="J112" i="2" s="1"/>
  <c r="K113" i="2"/>
  <c r="J113" i="2" s="1"/>
  <c r="K114" i="2"/>
  <c r="J114" i="2" s="1"/>
  <c r="K115" i="2"/>
  <c r="J115" i="2" s="1"/>
  <c r="K116" i="2"/>
  <c r="J116" i="2" s="1"/>
  <c r="K117" i="2"/>
  <c r="J117" i="2" s="1"/>
  <c r="K118" i="2"/>
  <c r="K119" i="2"/>
  <c r="J119" i="2" s="1"/>
  <c r="K120" i="2"/>
  <c r="J120" i="2" s="1"/>
  <c r="K121" i="2"/>
  <c r="J121" i="2" s="1"/>
  <c r="K122" i="2"/>
  <c r="J122" i="2" s="1"/>
  <c r="K123" i="2"/>
  <c r="J123" i="2" s="1"/>
  <c r="K124" i="2"/>
  <c r="J124" i="2" s="1"/>
  <c r="K125" i="2"/>
  <c r="J125" i="2" s="1"/>
  <c r="K126" i="2"/>
  <c r="K127" i="2"/>
  <c r="J127" i="2" s="1"/>
  <c r="K128" i="2"/>
  <c r="J128" i="2" s="1"/>
  <c r="K129" i="2"/>
  <c r="J129" i="2" s="1"/>
  <c r="K130" i="2"/>
  <c r="J130" i="2" s="1"/>
  <c r="K131" i="2"/>
  <c r="J131" i="2" s="1"/>
  <c r="K132" i="2"/>
  <c r="J132" i="2" s="1"/>
  <c r="K133" i="2"/>
  <c r="J133" i="2" s="1"/>
  <c r="K134" i="2"/>
  <c r="K135" i="2"/>
  <c r="J135" i="2" s="1"/>
  <c r="K136" i="2"/>
  <c r="J136" i="2" s="1"/>
  <c r="K137" i="2"/>
  <c r="J137" i="2" s="1"/>
  <c r="K138" i="2"/>
  <c r="J138" i="2" s="1"/>
  <c r="K139" i="2"/>
  <c r="J139" i="2" s="1"/>
  <c r="K140" i="2"/>
  <c r="J140" i="2" s="1"/>
  <c r="K141" i="2"/>
  <c r="J141" i="2" s="1"/>
  <c r="K142" i="2"/>
  <c r="K143" i="2"/>
  <c r="J143" i="2" s="1"/>
  <c r="K144" i="2"/>
  <c r="J144" i="2" s="1"/>
  <c r="K145" i="2"/>
  <c r="J145" i="2" s="1"/>
  <c r="K146" i="2"/>
  <c r="J146" i="2" s="1"/>
  <c r="K147" i="2"/>
  <c r="J147" i="2" s="1"/>
  <c r="K148" i="2"/>
  <c r="J148" i="2" s="1"/>
  <c r="K149" i="2"/>
  <c r="J149" i="2" s="1"/>
  <c r="K150" i="2"/>
  <c r="K151" i="2"/>
  <c r="J151" i="2" s="1"/>
  <c r="K152" i="2"/>
  <c r="J152" i="2" s="1"/>
  <c r="K153" i="2"/>
  <c r="J153" i="2" s="1"/>
  <c r="K154" i="2"/>
  <c r="J154" i="2" s="1"/>
  <c r="K155" i="2"/>
  <c r="J155" i="2" s="1"/>
  <c r="K156" i="2"/>
  <c r="J156" i="2" s="1"/>
  <c r="K157" i="2"/>
  <c r="J157" i="2" s="1"/>
  <c r="K158" i="2"/>
  <c r="K159" i="2"/>
  <c r="J159" i="2" s="1"/>
  <c r="K160" i="2"/>
  <c r="J160" i="2" s="1"/>
  <c r="K161" i="2"/>
  <c r="J161" i="2" s="1"/>
  <c r="K162" i="2"/>
  <c r="J162" i="2" s="1"/>
  <c r="K163" i="2"/>
  <c r="J163" i="2" s="1"/>
  <c r="K164" i="2"/>
  <c r="J164" i="2" s="1"/>
  <c r="K165" i="2"/>
  <c r="J165" i="2" s="1"/>
  <c r="K166" i="2"/>
  <c r="K167" i="2"/>
  <c r="J167" i="2" s="1"/>
  <c r="K168" i="2"/>
  <c r="J168" i="2" s="1"/>
  <c r="K169" i="2"/>
  <c r="J169" i="2" s="1"/>
  <c r="K170" i="2"/>
  <c r="J170" i="2" s="1"/>
  <c r="K171" i="2"/>
  <c r="J171" i="2" s="1"/>
  <c r="K172" i="2"/>
  <c r="J172" i="2" s="1"/>
  <c r="K173" i="2"/>
  <c r="J173" i="2" s="1"/>
  <c r="K174" i="2"/>
  <c r="K175" i="2"/>
  <c r="J175" i="2" s="1"/>
  <c r="K176" i="2"/>
  <c r="J176" i="2" s="1"/>
  <c r="K177" i="2"/>
  <c r="J177" i="2" s="1"/>
  <c r="K178" i="2"/>
  <c r="J178" i="2" s="1"/>
  <c r="K179" i="2"/>
  <c r="J179" i="2" s="1"/>
  <c r="K180" i="2"/>
  <c r="J180" i="2" s="1"/>
  <c r="K181" i="2"/>
  <c r="J181" i="2" s="1"/>
  <c r="K182" i="2"/>
  <c r="K183" i="2"/>
  <c r="J183" i="2" s="1"/>
  <c r="K184" i="2"/>
  <c r="J184" i="2" s="1"/>
  <c r="K185" i="2"/>
  <c r="J185" i="2" s="1"/>
  <c r="K186" i="2"/>
  <c r="J186" i="2" s="1"/>
  <c r="K187" i="2"/>
  <c r="J187" i="2" s="1"/>
  <c r="K188" i="2"/>
  <c r="J188" i="2" s="1"/>
  <c r="K189" i="2"/>
  <c r="J189" i="2" s="1"/>
  <c r="K190" i="2"/>
  <c r="K191" i="2"/>
  <c r="J191" i="2" s="1"/>
  <c r="K192" i="2"/>
  <c r="J192" i="2" s="1"/>
  <c r="K193" i="2"/>
  <c r="J193" i="2" s="1"/>
  <c r="K194" i="2"/>
  <c r="J194" i="2" s="1"/>
  <c r="K195" i="2"/>
  <c r="J195" i="2" s="1"/>
  <c r="K196" i="2"/>
  <c r="J196" i="2" s="1"/>
  <c r="K197" i="2"/>
  <c r="J197" i="2" s="1"/>
  <c r="K198" i="2"/>
  <c r="K199" i="2"/>
  <c r="J199" i="2" s="1"/>
  <c r="K200" i="2"/>
  <c r="J200" i="2" s="1"/>
  <c r="K201" i="2"/>
  <c r="J201" i="2" s="1"/>
  <c r="K202" i="2"/>
  <c r="J202" i="2" s="1"/>
  <c r="K203" i="2"/>
  <c r="J203" i="2" s="1"/>
  <c r="K204" i="2"/>
  <c r="J204" i="2" s="1"/>
  <c r="K205" i="2"/>
  <c r="J205" i="2" s="1"/>
  <c r="K206" i="2"/>
  <c r="K207" i="2"/>
  <c r="J207" i="2" s="1"/>
  <c r="K208" i="2"/>
  <c r="J208" i="2" s="1"/>
  <c r="K209" i="2"/>
  <c r="J209" i="2" s="1"/>
  <c r="K210" i="2"/>
  <c r="J210" i="2" s="1"/>
  <c r="K211" i="2"/>
  <c r="J211" i="2" s="1"/>
  <c r="K212" i="2"/>
  <c r="J212" i="2" s="1"/>
  <c r="K213" i="2"/>
  <c r="J213" i="2" s="1"/>
  <c r="K214" i="2"/>
  <c r="K215" i="2"/>
  <c r="J215" i="2" s="1"/>
  <c r="K216" i="2"/>
  <c r="J216" i="2" s="1"/>
  <c r="K217" i="2"/>
  <c r="J217" i="2" s="1"/>
  <c r="K218" i="2"/>
  <c r="J218" i="2" s="1"/>
  <c r="K219" i="2"/>
  <c r="J219" i="2" s="1"/>
  <c r="K220" i="2"/>
  <c r="J220" i="2" s="1"/>
  <c r="K221" i="2"/>
  <c r="J221" i="2" s="1"/>
  <c r="K222" i="2"/>
  <c r="K223" i="2"/>
  <c r="J223" i="2" s="1"/>
  <c r="K224" i="2"/>
  <c r="J224" i="2" s="1"/>
  <c r="K225" i="2"/>
  <c r="J225" i="2" s="1"/>
  <c r="K226" i="2"/>
  <c r="J226" i="2" s="1"/>
  <c r="K227" i="2"/>
  <c r="J227" i="2" s="1"/>
  <c r="K228" i="2"/>
  <c r="J228" i="2" s="1"/>
  <c r="K229" i="2"/>
  <c r="J229" i="2" s="1"/>
  <c r="K230" i="2"/>
  <c r="K231" i="2"/>
  <c r="J231" i="2" s="1"/>
  <c r="K6" i="2"/>
  <c r="J6" i="2" s="1"/>
  <c r="J230" i="2" l="1"/>
  <c r="J198" i="2"/>
  <c r="J166" i="2"/>
  <c r="J126" i="2"/>
  <c r="J118" i="2"/>
  <c r="J94" i="2"/>
  <c r="J86" i="2"/>
  <c r="J78" i="2"/>
  <c r="N8" i="2" s="1"/>
  <c r="J70" i="2"/>
  <c r="J62" i="2"/>
  <c r="J22" i="2"/>
  <c r="J14" i="2"/>
  <c r="J206" i="2"/>
  <c r="J174" i="2"/>
  <c r="J142" i="2"/>
  <c r="J102" i="2"/>
  <c r="J30" i="2"/>
  <c r="J222" i="2"/>
  <c r="J182" i="2"/>
  <c r="J150" i="2"/>
  <c r="J110" i="2"/>
  <c r="J46" i="2"/>
  <c r="J214" i="2"/>
  <c r="J158" i="2"/>
  <c r="J54" i="2"/>
  <c r="J190" i="2"/>
  <c r="J134" i="2"/>
  <c r="J38" i="2"/>
  <c r="N6" i="2" s="1"/>
  <c r="J4" i="1"/>
  <c r="J5" i="1"/>
  <c r="J6" i="1"/>
  <c r="I6" i="1" s="1"/>
  <c r="J7" i="1"/>
  <c r="I7" i="1" s="1"/>
  <c r="J8" i="1"/>
  <c r="I8" i="1" s="1"/>
  <c r="J9" i="1"/>
  <c r="I13" i="1" s="1"/>
  <c r="J10" i="1"/>
  <c r="J11" i="1"/>
  <c r="I11" i="1" s="1"/>
  <c r="J12" i="1"/>
  <c r="J13" i="1"/>
  <c r="J14" i="1"/>
  <c r="I14" i="1" s="1"/>
  <c r="J15" i="1"/>
  <c r="I15" i="1" s="1"/>
  <c r="J16" i="1"/>
  <c r="I16" i="1" s="1"/>
  <c r="J17" i="1"/>
  <c r="I17" i="1" s="1"/>
  <c r="J18" i="1"/>
  <c r="J19" i="1"/>
  <c r="I19" i="1" s="1"/>
  <c r="J20" i="1"/>
  <c r="J21" i="1"/>
  <c r="J22" i="1"/>
  <c r="I22" i="1" s="1"/>
  <c r="J3" i="1"/>
  <c r="I3" i="1" s="1"/>
  <c r="M3" i="1" l="1"/>
  <c r="I5" i="1"/>
  <c r="N7" i="2"/>
  <c r="N10" i="2"/>
  <c r="I20" i="1"/>
  <c r="I4" i="1"/>
  <c r="M6" i="1" s="1"/>
  <c r="I12" i="1"/>
  <c r="I9" i="1"/>
  <c r="I21" i="1"/>
  <c r="I18" i="1"/>
  <c r="I10" i="1"/>
  <c r="N9" i="2"/>
  <c r="M7" i="1" l="1"/>
  <c r="M5" i="1"/>
  <c r="M4" i="1"/>
</calcChain>
</file>

<file path=xl/sharedStrings.xml><?xml version="1.0" encoding="utf-8"?>
<sst xmlns="http://schemas.openxmlformats.org/spreadsheetml/2006/main" count="43" uniqueCount="26">
  <si>
    <t>x</t>
    <phoneticPr fontId="1" type="noConversion"/>
  </si>
  <si>
    <t>y</t>
    <phoneticPr fontId="1" type="noConversion"/>
  </si>
  <si>
    <t>Class</t>
    <phoneticPr fontId="1" type="noConversion"/>
  </si>
  <si>
    <t>훈련 데이터</t>
    <phoneticPr fontId="1" type="noConversion"/>
  </si>
  <si>
    <t>시험 데이터</t>
    <phoneticPr fontId="1" type="noConversion"/>
  </si>
  <si>
    <t>?</t>
    <phoneticPr fontId="1" type="noConversion"/>
  </si>
  <si>
    <t>Rank</t>
    <phoneticPr fontId="1" type="noConversion"/>
  </si>
  <si>
    <t>거리</t>
    <phoneticPr fontId="1" type="noConversion"/>
  </si>
  <si>
    <t>K</t>
    <phoneticPr fontId="1" type="noConversion"/>
  </si>
  <si>
    <t>Prediction</t>
    <phoneticPr fontId="1" type="noConversion"/>
  </si>
  <si>
    <t>날짜</t>
  </si>
  <si>
    <t>가격편차</t>
  </si>
  <si>
    <t>거래량</t>
  </si>
  <si>
    <t>외국인</t>
  </si>
  <si>
    <t>기관</t>
  </si>
  <si>
    <t>개인</t>
  </si>
  <si>
    <t>수익률</t>
  </si>
  <si>
    <t>Class</t>
    <phoneticPr fontId="1" type="noConversion"/>
  </si>
  <si>
    <t>스프레드</t>
    <phoneticPr fontId="1" type="noConversion"/>
  </si>
  <si>
    <t>훈련 데이터</t>
    <phoneticPr fontId="1" type="noConversion"/>
  </si>
  <si>
    <t>시험 데이터</t>
    <phoneticPr fontId="1" type="noConversion"/>
  </si>
  <si>
    <t>??</t>
    <phoneticPr fontId="1" type="noConversion"/>
  </si>
  <si>
    <t>Rank</t>
    <phoneticPr fontId="1" type="noConversion"/>
  </si>
  <si>
    <t>거리</t>
    <phoneticPr fontId="1" type="noConversion"/>
  </si>
  <si>
    <t>k</t>
    <phoneticPr fontId="1" type="noConversion"/>
  </si>
  <si>
    <t>Majority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</si>
</sst>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_ "/>
    <numFmt numFmtId="177" formatCode="0.000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15"/>
          </c:marker>
          <c:dPt>
            <c:idx val="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CA0-424E-A0B1-1DC105B5749C}"/>
              </c:ext>
            </c:extLst>
          </c:dPt>
          <c:dPt>
            <c:idx val="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CA0-424E-A0B1-1DC105B5749C}"/>
              </c:ext>
            </c:extLst>
          </c:dPt>
          <c:dPt>
            <c:idx val="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CA0-424E-A0B1-1DC105B5749C}"/>
              </c:ext>
            </c:extLst>
          </c:dPt>
          <c:dPt>
            <c:idx val="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CA0-424E-A0B1-1DC105B5749C}"/>
              </c:ext>
            </c:extLst>
          </c:dPt>
          <c:dPt>
            <c:idx val="4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CA0-424E-A0B1-1DC105B5749C}"/>
              </c:ext>
            </c:extLst>
          </c:dPt>
          <c:dPt>
            <c:idx val="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CA0-424E-A0B1-1DC105B5749C}"/>
              </c:ext>
            </c:extLst>
          </c:dPt>
          <c:dPt>
            <c:idx val="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BCA0-424E-A0B1-1DC105B5749C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BCA0-424E-A0B1-1DC105B5749C}"/>
              </c:ext>
            </c:extLst>
          </c:dPt>
          <c:dPt>
            <c:idx val="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CA0-424E-A0B1-1DC105B5749C}"/>
              </c:ext>
            </c:extLst>
          </c:dPt>
          <c:dPt>
            <c:idx val="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BCA0-424E-A0B1-1DC105B5749C}"/>
              </c:ext>
            </c:extLst>
          </c:dPt>
          <c:dPt>
            <c:idx val="1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BCA0-424E-A0B1-1DC105B5749C}"/>
              </c:ext>
            </c:extLst>
          </c:dPt>
          <c:dPt>
            <c:idx val="11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BCA0-424E-A0B1-1DC105B5749C}"/>
              </c:ext>
            </c:extLst>
          </c:dPt>
          <c:dPt>
            <c:idx val="12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BCA0-424E-A0B1-1DC105B5749C}"/>
              </c:ext>
            </c:extLst>
          </c:dPt>
          <c:dPt>
            <c:idx val="1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BCA0-424E-A0B1-1DC105B5749C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BCA0-424E-A0B1-1DC105B5749C}"/>
              </c:ext>
            </c:extLst>
          </c:dPt>
          <c:dPt>
            <c:idx val="15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BCA0-424E-A0B1-1DC105B5749C}"/>
              </c:ext>
            </c:extLst>
          </c:dPt>
          <c:dPt>
            <c:idx val="1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BCA0-424E-A0B1-1DC105B5749C}"/>
              </c:ext>
            </c:extLst>
          </c:dPt>
          <c:dPt>
            <c:idx val="1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BCA0-424E-A0B1-1DC105B5749C}"/>
              </c:ext>
            </c:extLst>
          </c:dPt>
          <c:dPt>
            <c:idx val="18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BCA0-424E-A0B1-1DC105B5749C}"/>
              </c:ext>
            </c:extLst>
          </c:dPt>
          <c:dPt>
            <c:idx val="19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BCA0-424E-A0B1-1DC105B5749C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BCA0-424E-A0B1-1DC105B5749C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BCA0-424E-A0B1-1DC105B5749C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BCA0-424E-A0B1-1DC105B5749C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BCA0-424E-A0B1-1DC105B5749C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BCA0-424E-A0B1-1DC105B5749C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BCA0-424E-A0B1-1DC105B5749C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BCA0-424E-A0B1-1DC105B5749C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BCA0-424E-A0B1-1DC105B5749C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BCA0-424E-A0B1-1DC105B5749C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BCA0-424E-A0B1-1DC105B5749C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BCA0-424E-A0B1-1DC105B5749C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BCA0-424E-A0B1-1DC105B5749C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BCA0-424E-A0B1-1DC105B5749C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BCA0-424E-A0B1-1DC105B5749C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E-BCA0-424E-A0B1-1DC105B5749C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BCA0-424E-A0B1-1DC105B5749C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0-BCA0-424E-A0B1-1DC105B5749C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1-BCA0-424E-A0B1-1DC105B5749C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BCA0-424E-A0B1-1DC105B5749C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3-BCA0-424E-A0B1-1DC105B574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KNN!$A$3:$A$22</c:f>
              <c:numCache>
                <c:formatCode>0.000_ </c:formatCode>
                <c:ptCount val="20"/>
                <c:pt idx="0">
                  <c:v>-0.496</c:v>
                </c:pt>
                <c:pt idx="1">
                  <c:v>0.98699999999999999</c:v>
                </c:pt>
                <c:pt idx="2">
                  <c:v>0.63400000000000001</c:v>
                </c:pt>
                <c:pt idx="3">
                  <c:v>-0.48199999999999998</c:v>
                </c:pt>
                <c:pt idx="4">
                  <c:v>-0.999</c:v>
                </c:pt>
                <c:pt idx="5">
                  <c:v>-0.65400000000000003</c:v>
                </c:pt>
                <c:pt idx="6">
                  <c:v>0.56399999999999995</c:v>
                </c:pt>
                <c:pt idx="7">
                  <c:v>-0.92100000000000004</c:v>
                </c:pt>
                <c:pt idx="8">
                  <c:v>0.72099999999999997</c:v>
                </c:pt>
                <c:pt idx="9">
                  <c:v>0.89300000000000002</c:v>
                </c:pt>
                <c:pt idx="10">
                  <c:v>0.872</c:v>
                </c:pt>
                <c:pt idx="11">
                  <c:v>-0.495</c:v>
                </c:pt>
                <c:pt idx="12">
                  <c:v>-0.66500000000000004</c:v>
                </c:pt>
                <c:pt idx="13">
                  <c:v>0.51100000000000001</c:v>
                </c:pt>
                <c:pt idx="14">
                  <c:v>-0.626</c:v>
                </c:pt>
                <c:pt idx="15">
                  <c:v>-0.68400000000000005</c:v>
                </c:pt>
                <c:pt idx="16">
                  <c:v>0.32500000000000001</c:v>
                </c:pt>
                <c:pt idx="17">
                  <c:v>-0.432</c:v>
                </c:pt>
                <c:pt idx="18">
                  <c:v>-0.88200000000000001</c:v>
                </c:pt>
                <c:pt idx="19">
                  <c:v>-0.57499999999999996</c:v>
                </c:pt>
              </c:numCache>
            </c:numRef>
          </c:xVal>
          <c:yVal>
            <c:numRef>
              <c:f>KNN!$B$3:$B$22</c:f>
              <c:numCache>
                <c:formatCode>0.000_ </c:formatCode>
                <c:ptCount val="20"/>
                <c:pt idx="0">
                  <c:v>0.67500000000000004</c:v>
                </c:pt>
                <c:pt idx="1">
                  <c:v>-0.53600000000000003</c:v>
                </c:pt>
                <c:pt idx="2">
                  <c:v>0.56699999999999995</c:v>
                </c:pt>
                <c:pt idx="3">
                  <c:v>0.38700000000000001</c:v>
                </c:pt>
                <c:pt idx="4">
                  <c:v>-0.64700000000000002</c:v>
                </c:pt>
                <c:pt idx="5">
                  <c:v>0.23400000000000001</c:v>
                </c:pt>
                <c:pt idx="6">
                  <c:v>-0.124</c:v>
                </c:pt>
                <c:pt idx="7">
                  <c:v>0.17699999999999999</c:v>
                </c:pt>
                <c:pt idx="8">
                  <c:v>0.74299999999999999</c:v>
                </c:pt>
                <c:pt idx="9">
                  <c:v>-0.25</c:v>
                </c:pt>
                <c:pt idx="10">
                  <c:v>0.45600000000000002</c:v>
                </c:pt>
                <c:pt idx="11">
                  <c:v>-0.82599999999999996</c:v>
                </c:pt>
                <c:pt idx="12">
                  <c:v>-0.64400000000000002</c:v>
                </c:pt>
                <c:pt idx="13">
                  <c:v>-0.28799999999999998</c:v>
                </c:pt>
                <c:pt idx="14">
                  <c:v>0.45300000000000001</c:v>
                </c:pt>
                <c:pt idx="15">
                  <c:v>-0.94699999999999995</c:v>
                </c:pt>
                <c:pt idx="16">
                  <c:v>-0.34499999999999997</c:v>
                </c:pt>
                <c:pt idx="17">
                  <c:v>0.314</c:v>
                </c:pt>
                <c:pt idx="18">
                  <c:v>-0.90200000000000002</c:v>
                </c:pt>
                <c:pt idx="19">
                  <c:v>-0.50900000000000001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CA0-424E-A0B1-1DC105B5749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tar"/>
            <c:size val="10"/>
            <c:spPr>
              <a:ln w="25400"/>
            </c:spPr>
          </c:marker>
          <c:xVal>
            <c:numRef>
              <c:f>KNN!$E$3</c:f>
              <c:numCache>
                <c:formatCode>General</c:formatCode>
                <c:ptCount val="1"/>
                <c:pt idx="0">
                  <c:v>0.3</c:v>
                </c:pt>
              </c:numCache>
            </c:numRef>
          </c:xVal>
          <c:yVal>
            <c:numRef>
              <c:f>KNN!$F$3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CA0-424E-A0B1-1DC105B57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9344"/>
        <c:axId val="235289920"/>
      </c:scatterChart>
      <c:valAx>
        <c:axId val="235289344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one"/>
        <c:crossAx val="235289920"/>
        <c:crosses val="autoZero"/>
        <c:crossBetween val="midCat"/>
      </c:valAx>
      <c:valAx>
        <c:axId val="235289920"/>
        <c:scaling>
          <c:orientation val="minMax"/>
        </c:scaling>
        <c:delete val="0"/>
        <c:axPos val="l"/>
        <c:numFmt formatCode="0.000_ " sourceLinked="1"/>
        <c:majorTickMark val="out"/>
        <c:minorTickMark val="none"/>
        <c:tickLblPos val="none"/>
        <c:crossAx val="23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4.5619484516152629E-2"/>
          <c:w val="1"/>
          <c:h val="0.9087610309676947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380-41E6-8DB3-972BD2F9265B}"/>
              </c:ext>
            </c:extLst>
          </c:dPt>
          <c:dPt>
            <c:idx val="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380-41E6-8DB3-972BD2F9265B}"/>
              </c:ext>
            </c:extLst>
          </c:dPt>
          <c:dPt>
            <c:idx val="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380-41E6-8DB3-972BD2F9265B}"/>
              </c:ext>
            </c:extLst>
          </c:dPt>
          <c:dPt>
            <c:idx val="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380-41E6-8DB3-972BD2F9265B}"/>
              </c:ext>
            </c:extLst>
          </c:dPt>
          <c:dPt>
            <c:idx val="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380-41E6-8DB3-972BD2F9265B}"/>
              </c:ext>
            </c:extLst>
          </c:dPt>
          <c:dPt>
            <c:idx val="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380-41E6-8DB3-972BD2F9265B}"/>
              </c:ext>
            </c:extLst>
          </c:dPt>
          <c:dPt>
            <c:idx val="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380-41E6-8DB3-972BD2F9265B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380-41E6-8DB3-972BD2F9265B}"/>
              </c:ext>
            </c:extLst>
          </c:dPt>
          <c:dPt>
            <c:idx val="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380-41E6-8DB3-972BD2F9265B}"/>
              </c:ext>
            </c:extLst>
          </c:dPt>
          <c:dPt>
            <c:idx val="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380-41E6-8DB3-972BD2F9265B}"/>
              </c:ext>
            </c:extLst>
          </c:dPt>
          <c:dPt>
            <c:idx val="1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380-41E6-8DB3-972BD2F9265B}"/>
              </c:ext>
            </c:extLst>
          </c:dPt>
          <c:dPt>
            <c:idx val="1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380-41E6-8DB3-972BD2F9265B}"/>
              </c:ext>
            </c:extLst>
          </c:dPt>
          <c:dPt>
            <c:idx val="1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380-41E6-8DB3-972BD2F9265B}"/>
              </c:ext>
            </c:extLst>
          </c:dPt>
          <c:dPt>
            <c:idx val="1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380-41E6-8DB3-972BD2F9265B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380-41E6-8DB3-972BD2F9265B}"/>
              </c:ext>
            </c:extLst>
          </c:dPt>
          <c:dPt>
            <c:idx val="1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380-41E6-8DB3-972BD2F9265B}"/>
              </c:ext>
            </c:extLst>
          </c:dPt>
          <c:dPt>
            <c:idx val="1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380-41E6-8DB3-972BD2F9265B}"/>
              </c:ext>
            </c:extLst>
          </c:dPt>
          <c:dPt>
            <c:idx val="1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380-41E6-8DB3-972BD2F9265B}"/>
              </c:ext>
            </c:extLst>
          </c:dPt>
          <c:dPt>
            <c:idx val="1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380-41E6-8DB3-972BD2F9265B}"/>
              </c:ext>
            </c:extLst>
          </c:dPt>
          <c:dPt>
            <c:idx val="1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380-41E6-8DB3-972BD2F9265B}"/>
              </c:ext>
            </c:extLst>
          </c:dPt>
          <c:dPt>
            <c:idx val="2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80-41E6-8DB3-972BD2F9265B}"/>
              </c:ext>
            </c:extLst>
          </c:dPt>
          <c:dPt>
            <c:idx val="2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80-41E6-8DB3-972BD2F9265B}"/>
              </c:ext>
            </c:extLst>
          </c:dPt>
          <c:dPt>
            <c:idx val="2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80-41E6-8DB3-972BD2F9265B}"/>
              </c:ext>
            </c:extLst>
          </c:dPt>
          <c:dPt>
            <c:idx val="2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80-41E6-8DB3-972BD2F9265B}"/>
              </c:ext>
            </c:extLst>
          </c:dPt>
          <c:dPt>
            <c:idx val="2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80-41E6-8DB3-972BD2F9265B}"/>
              </c:ext>
            </c:extLst>
          </c:dPt>
          <c:dPt>
            <c:idx val="2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80-41E6-8DB3-972BD2F9265B}"/>
              </c:ext>
            </c:extLst>
          </c:dPt>
          <c:dPt>
            <c:idx val="2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80-41E6-8DB3-972BD2F9265B}"/>
              </c:ext>
            </c:extLst>
          </c:dPt>
          <c:dPt>
            <c:idx val="2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80-41E6-8DB3-972BD2F9265B}"/>
              </c:ext>
            </c:extLst>
          </c:dPt>
          <c:dPt>
            <c:idx val="2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80-41E6-8DB3-972BD2F9265B}"/>
              </c:ext>
            </c:extLst>
          </c:dPt>
          <c:dPt>
            <c:idx val="2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80-41E6-8DB3-972BD2F9265B}"/>
              </c:ext>
            </c:extLst>
          </c:dPt>
          <c:dPt>
            <c:idx val="3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80-41E6-8DB3-972BD2F9265B}"/>
              </c:ext>
            </c:extLst>
          </c:dPt>
          <c:dPt>
            <c:idx val="3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80-41E6-8DB3-972BD2F9265B}"/>
              </c:ext>
            </c:extLst>
          </c:dPt>
          <c:dPt>
            <c:idx val="3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80-41E6-8DB3-972BD2F9265B}"/>
              </c:ext>
            </c:extLst>
          </c:dPt>
          <c:dPt>
            <c:idx val="3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80-41E6-8DB3-972BD2F9265B}"/>
              </c:ext>
            </c:extLst>
          </c:dPt>
          <c:dPt>
            <c:idx val="3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80-41E6-8DB3-972BD2F9265B}"/>
              </c:ext>
            </c:extLst>
          </c:dPt>
          <c:dPt>
            <c:idx val="3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80-41E6-8DB3-972BD2F9265B}"/>
              </c:ext>
            </c:extLst>
          </c:dPt>
          <c:dPt>
            <c:idx val="3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80-41E6-8DB3-972BD2F9265B}"/>
              </c:ext>
            </c:extLst>
          </c:dPt>
          <c:dPt>
            <c:idx val="3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80-41E6-8DB3-972BD2F9265B}"/>
              </c:ext>
            </c:extLst>
          </c:dPt>
          <c:dPt>
            <c:idx val="3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80-41E6-8DB3-972BD2F9265B}"/>
              </c:ext>
            </c:extLst>
          </c:dPt>
          <c:dPt>
            <c:idx val="3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80-41E6-8DB3-972BD2F9265B}"/>
              </c:ext>
            </c:extLst>
          </c:dPt>
          <c:dPt>
            <c:idx val="4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80-41E6-8DB3-972BD2F9265B}"/>
              </c:ext>
            </c:extLst>
          </c:dPt>
          <c:dPt>
            <c:idx val="4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80-41E6-8DB3-972BD2F9265B}"/>
              </c:ext>
            </c:extLst>
          </c:dPt>
          <c:dPt>
            <c:idx val="4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80-41E6-8DB3-972BD2F9265B}"/>
              </c:ext>
            </c:extLst>
          </c:dPt>
          <c:dPt>
            <c:idx val="4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80-41E6-8DB3-972BD2F9265B}"/>
              </c:ext>
            </c:extLst>
          </c:dPt>
          <c:dPt>
            <c:idx val="4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80-41E6-8DB3-972BD2F9265B}"/>
              </c:ext>
            </c:extLst>
          </c:dPt>
          <c:dPt>
            <c:idx val="4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80-41E6-8DB3-972BD2F9265B}"/>
              </c:ext>
            </c:extLst>
          </c:dPt>
          <c:dPt>
            <c:idx val="4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80-41E6-8DB3-972BD2F9265B}"/>
              </c:ext>
            </c:extLst>
          </c:dPt>
          <c:dPt>
            <c:idx val="4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80-41E6-8DB3-972BD2F9265B}"/>
              </c:ext>
            </c:extLst>
          </c:dPt>
          <c:dPt>
            <c:idx val="4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80-41E6-8DB3-972BD2F9265B}"/>
              </c:ext>
            </c:extLst>
          </c:dPt>
          <c:dPt>
            <c:idx val="4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80-41E6-8DB3-972BD2F9265B}"/>
              </c:ext>
            </c:extLst>
          </c:dPt>
          <c:dPt>
            <c:idx val="5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80-41E6-8DB3-972BD2F9265B}"/>
              </c:ext>
            </c:extLst>
          </c:dPt>
          <c:dPt>
            <c:idx val="5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80-41E6-8DB3-972BD2F9265B}"/>
              </c:ext>
            </c:extLst>
          </c:dPt>
          <c:dPt>
            <c:idx val="5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80-41E6-8DB3-972BD2F9265B}"/>
              </c:ext>
            </c:extLst>
          </c:dPt>
          <c:dPt>
            <c:idx val="5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80-41E6-8DB3-972BD2F9265B}"/>
              </c:ext>
            </c:extLst>
          </c:dPt>
          <c:dPt>
            <c:idx val="5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80-41E6-8DB3-972BD2F9265B}"/>
              </c:ext>
            </c:extLst>
          </c:dPt>
          <c:dPt>
            <c:idx val="5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80-41E6-8DB3-972BD2F9265B}"/>
              </c:ext>
            </c:extLst>
          </c:dPt>
          <c:dPt>
            <c:idx val="5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80-41E6-8DB3-972BD2F9265B}"/>
              </c:ext>
            </c:extLst>
          </c:dPt>
          <c:dPt>
            <c:idx val="5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80-41E6-8DB3-972BD2F9265B}"/>
              </c:ext>
            </c:extLst>
          </c:dPt>
          <c:dPt>
            <c:idx val="5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80-41E6-8DB3-972BD2F9265B}"/>
              </c:ext>
            </c:extLst>
          </c:dPt>
          <c:dPt>
            <c:idx val="5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80-41E6-8DB3-972BD2F9265B}"/>
              </c:ext>
            </c:extLst>
          </c:dPt>
          <c:dPt>
            <c:idx val="6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380-41E6-8DB3-972BD2F9265B}"/>
              </c:ext>
            </c:extLst>
          </c:dPt>
          <c:dPt>
            <c:idx val="6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380-41E6-8DB3-972BD2F9265B}"/>
              </c:ext>
            </c:extLst>
          </c:dPt>
          <c:dPt>
            <c:idx val="6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380-41E6-8DB3-972BD2F9265B}"/>
              </c:ext>
            </c:extLst>
          </c:dPt>
          <c:dPt>
            <c:idx val="6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380-41E6-8DB3-972BD2F9265B}"/>
              </c:ext>
            </c:extLst>
          </c:dPt>
          <c:dPt>
            <c:idx val="6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380-41E6-8DB3-972BD2F9265B}"/>
              </c:ext>
            </c:extLst>
          </c:dPt>
          <c:dPt>
            <c:idx val="6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380-41E6-8DB3-972BD2F9265B}"/>
              </c:ext>
            </c:extLst>
          </c:dPt>
          <c:dPt>
            <c:idx val="6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380-41E6-8DB3-972BD2F9265B}"/>
              </c:ext>
            </c:extLst>
          </c:dPt>
          <c:dPt>
            <c:idx val="6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380-41E6-8DB3-972BD2F9265B}"/>
              </c:ext>
            </c:extLst>
          </c:dPt>
          <c:dPt>
            <c:idx val="6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380-41E6-8DB3-972BD2F9265B}"/>
              </c:ext>
            </c:extLst>
          </c:dPt>
          <c:dPt>
            <c:idx val="6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380-41E6-8DB3-972BD2F9265B}"/>
              </c:ext>
            </c:extLst>
          </c:dPt>
          <c:dPt>
            <c:idx val="7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380-41E6-8DB3-972BD2F9265B}"/>
              </c:ext>
            </c:extLst>
          </c:dPt>
          <c:dPt>
            <c:idx val="7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380-41E6-8DB3-972BD2F9265B}"/>
              </c:ext>
            </c:extLst>
          </c:dPt>
          <c:dPt>
            <c:idx val="7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380-41E6-8DB3-972BD2F9265B}"/>
              </c:ext>
            </c:extLst>
          </c:dPt>
          <c:dPt>
            <c:idx val="7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380-41E6-8DB3-972BD2F9265B}"/>
              </c:ext>
            </c:extLst>
          </c:dPt>
          <c:dPt>
            <c:idx val="7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380-41E6-8DB3-972BD2F9265B}"/>
              </c:ext>
            </c:extLst>
          </c:dPt>
          <c:dPt>
            <c:idx val="7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380-41E6-8DB3-972BD2F9265B}"/>
              </c:ext>
            </c:extLst>
          </c:dPt>
          <c:dPt>
            <c:idx val="7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380-41E6-8DB3-972BD2F9265B}"/>
              </c:ext>
            </c:extLst>
          </c:dPt>
          <c:dPt>
            <c:idx val="7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380-41E6-8DB3-972BD2F9265B}"/>
              </c:ext>
            </c:extLst>
          </c:dPt>
          <c:dPt>
            <c:idx val="78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380-41E6-8DB3-972BD2F9265B}"/>
              </c:ext>
            </c:extLst>
          </c:dPt>
          <c:dPt>
            <c:idx val="7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380-41E6-8DB3-972BD2F9265B}"/>
              </c:ext>
            </c:extLst>
          </c:dPt>
          <c:dPt>
            <c:idx val="8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380-41E6-8DB3-972BD2F9265B}"/>
              </c:ext>
            </c:extLst>
          </c:dPt>
          <c:dPt>
            <c:idx val="8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380-41E6-8DB3-972BD2F9265B}"/>
              </c:ext>
            </c:extLst>
          </c:dPt>
          <c:dPt>
            <c:idx val="8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380-41E6-8DB3-972BD2F9265B}"/>
              </c:ext>
            </c:extLst>
          </c:dPt>
          <c:dPt>
            <c:idx val="8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380-41E6-8DB3-972BD2F9265B}"/>
              </c:ext>
            </c:extLst>
          </c:dPt>
          <c:dPt>
            <c:idx val="8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380-41E6-8DB3-972BD2F9265B}"/>
              </c:ext>
            </c:extLst>
          </c:dPt>
          <c:dPt>
            <c:idx val="8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380-41E6-8DB3-972BD2F9265B}"/>
              </c:ext>
            </c:extLst>
          </c:dPt>
          <c:dPt>
            <c:idx val="8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380-41E6-8DB3-972BD2F9265B}"/>
              </c:ext>
            </c:extLst>
          </c:dPt>
          <c:dPt>
            <c:idx val="8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380-41E6-8DB3-972BD2F9265B}"/>
              </c:ext>
            </c:extLst>
          </c:dPt>
          <c:dPt>
            <c:idx val="8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380-41E6-8DB3-972BD2F9265B}"/>
              </c:ext>
            </c:extLst>
          </c:dPt>
          <c:dPt>
            <c:idx val="8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380-41E6-8DB3-972BD2F9265B}"/>
              </c:ext>
            </c:extLst>
          </c:dPt>
          <c:dPt>
            <c:idx val="9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380-41E6-8DB3-972BD2F9265B}"/>
              </c:ext>
            </c:extLst>
          </c:dPt>
          <c:dPt>
            <c:idx val="9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380-41E6-8DB3-972BD2F9265B}"/>
              </c:ext>
            </c:extLst>
          </c:dPt>
          <c:dPt>
            <c:idx val="9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380-41E6-8DB3-972BD2F9265B}"/>
              </c:ext>
            </c:extLst>
          </c:dPt>
          <c:dPt>
            <c:idx val="9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380-41E6-8DB3-972BD2F9265B}"/>
              </c:ext>
            </c:extLst>
          </c:dPt>
          <c:dPt>
            <c:idx val="9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380-41E6-8DB3-972BD2F9265B}"/>
              </c:ext>
            </c:extLst>
          </c:dPt>
          <c:dPt>
            <c:idx val="9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380-41E6-8DB3-972BD2F9265B}"/>
              </c:ext>
            </c:extLst>
          </c:dPt>
          <c:dPt>
            <c:idx val="9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380-41E6-8DB3-972BD2F9265B}"/>
              </c:ext>
            </c:extLst>
          </c:dPt>
          <c:dPt>
            <c:idx val="9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380-41E6-8DB3-972BD2F9265B}"/>
              </c:ext>
            </c:extLst>
          </c:dPt>
          <c:dPt>
            <c:idx val="9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380-41E6-8DB3-972BD2F9265B}"/>
              </c:ext>
            </c:extLst>
          </c:dPt>
          <c:dPt>
            <c:idx val="9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380-41E6-8DB3-972BD2F9265B}"/>
              </c:ext>
            </c:extLst>
          </c:dPt>
          <c:dPt>
            <c:idx val="10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380-41E6-8DB3-972BD2F9265B}"/>
              </c:ext>
            </c:extLst>
          </c:dPt>
          <c:dPt>
            <c:idx val="10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380-41E6-8DB3-972BD2F9265B}"/>
              </c:ext>
            </c:extLst>
          </c:dPt>
          <c:dPt>
            <c:idx val="10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380-41E6-8DB3-972BD2F9265B}"/>
              </c:ext>
            </c:extLst>
          </c:dPt>
          <c:dPt>
            <c:idx val="10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380-41E6-8DB3-972BD2F9265B}"/>
              </c:ext>
            </c:extLst>
          </c:dPt>
          <c:dPt>
            <c:idx val="10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380-41E6-8DB3-972BD2F9265B}"/>
              </c:ext>
            </c:extLst>
          </c:dPt>
          <c:dPt>
            <c:idx val="10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380-41E6-8DB3-972BD2F9265B}"/>
              </c:ext>
            </c:extLst>
          </c:dPt>
          <c:dPt>
            <c:idx val="10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380-41E6-8DB3-972BD2F9265B}"/>
              </c:ext>
            </c:extLst>
          </c:dPt>
          <c:dPt>
            <c:idx val="10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380-41E6-8DB3-972BD2F9265B}"/>
              </c:ext>
            </c:extLst>
          </c:dPt>
          <c:dPt>
            <c:idx val="10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380-41E6-8DB3-972BD2F9265B}"/>
              </c:ext>
            </c:extLst>
          </c:dPt>
          <c:dPt>
            <c:idx val="10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380-41E6-8DB3-972BD2F9265B}"/>
              </c:ext>
            </c:extLst>
          </c:dPt>
          <c:dPt>
            <c:idx val="11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380-41E6-8DB3-972BD2F9265B}"/>
              </c:ext>
            </c:extLst>
          </c:dPt>
          <c:dPt>
            <c:idx val="11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380-41E6-8DB3-972BD2F9265B}"/>
              </c:ext>
            </c:extLst>
          </c:dPt>
          <c:dPt>
            <c:idx val="11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380-41E6-8DB3-972BD2F9265B}"/>
              </c:ext>
            </c:extLst>
          </c:dPt>
          <c:dPt>
            <c:idx val="11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380-41E6-8DB3-972BD2F9265B}"/>
              </c:ext>
            </c:extLst>
          </c:dPt>
          <c:dPt>
            <c:idx val="1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380-41E6-8DB3-972BD2F9265B}"/>
              </c:ext>
            </c:extLst>
          </c:dPt>
          <c:dPt>
            <c:idx val="11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380-41E6-8DB3-972BD2F9265B}"/>
              </c:ext>
            </c:extLst>
          </c:dPt>
          <c:dPt>
            <c:idx val="11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380-41E6-8DB3-972BD2F9265B}"/>
              </c:ext>
            </c:extLst>
          </c:dPt>
          <c:dPt>
            <c:idx val="11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380-41E6-8DB3-972BD2F9265B}"/>
              </c:ext>
            </c:extLst>
          </c:dPt>
          <c:dPt>
            <c:idx val="11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380-41E6-8DB3-972BD2F9265B}"/>
              </c:ext>
            </c:extLst>
          </c:dPt>
          <c:dPt>
            <c:idx val="11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380-41E6-8DB3-972BD2F9265B}"/>
              </c:ext>
            </c:extLst>
          </c:dPt>
          <c:dPt>
            <c:idx val="12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380-41E6-8DB3-972BD2F9265B}"/>
              </c:ext>
            </c:extLst>
          </c:dPt>
          <c:dPt>
            <c:idx val="12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380-41E6-8DB3-972BD2F9265B}"/>
              </c:ext>
            </c:extLst>
          </c:dPt>
          <c:dPt>
            <c:idx val="12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380-41E6-8DB3-972BD2F9265B}"/>
              </c:ext>
            </c:extLst>
          </c:dPt>
          <c:dPt>
            <c:idx val="12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380-41E6-8DB3-972BD2F9265B}"/>
              </c:ext>
            </c:extLst>
          </c:dPt>
          <c:dPt>
            <c:idx val="12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380-41E6-8DB3-972BD2F9265B}"/>
              </c:ext>
            </c:extLst>
          </c:dPt>
          <c:dPt>
            <c:idx val="12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380-41E6-8DB3-972BD2F9265B}"/>
              </c:ext>
            </c:extLst>
          </c:dPt>
          <c:dPt>
            <c:idx val="12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380-41E6-8DB3-972BD2F9265B}"/>
              </c:ext>
            </c:extLst>
          </c:dPt>
          <c:dPt>
            <c:idx val="12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380-41E6-8DB3-972BD2F9265B}"/>
              </c:ext>
            </c:extLst>
          </c:dPt>
          <c:dPt>
            <c:idx val="12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380-41E6-8DB3-972BD2F9265B}"/>
              </c:ext>
            </c:extLst>
          </c:dPt>
          <c:dPt>
            <c:idx val="12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380-41E6-8DB3-972BD2F9265B}"/>
              </c:ext>
            </c:extLst>
          </c:dPt>
          <c:dPt>
            <c:idx val="13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380-41E6-8DB3-972BD2F9265B}"/>
              </c:ext>
            </c:extLst>
          </c:dPt>
          <c:dPt>
            <c:idx val="13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380-41E6-8DB3-972BD2F9265B}"/>
              </c:ext>
            </c:extLst>
          </c:dPt>
          <c:dPt>
            <c:idx val="13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380-41E6-8DB3-972BD2F9265B}"/>
              </c:ext>
            </c:extLst>
          </c:dPt>
          <c:dPt>
            <c:idx val="13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380-41E6-8DB3-972BD2F9265B}"/>
              </c:ext>
            </c:extLst>
          </c:dPt>
          <c:dPt>
            <c:idx val="13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380-41E6-8DB3-972BD2F9265B}"/>
              </c:ext>
            </c:extLst>
          </c:dPt>
          <c:dPt>
            <c:idx val="13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380-41E6-8DB3-972BD2F9265B}"/>
              </c:ext>
            </c:extLst>
          </c:dPt>
          <c:dPt>
            <c:idx val="13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380-41E6-8DB3-972BD2F9265B}"/>
              </c:ext>
            </c:extLst>
          </c:dPt>
          <c:dPt>
            <c:idx val="13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380-41E6-8DB3-972BD2F9265B}"/>
              </c:ext>
            </c:extLst>
          </c:dPt>
          <c:dPt>
            <c:idx val="13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380-41E6-8DB3-972BD2F9265B}"/>
              </c:ext>
            </c:extLst>
          </c:dPt>
          <c:dPt>
            <c:idx val="13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380-41E6-8DB3-972BD2F9265B}"/>
              </c:ext>
            </c:extLst>
          </c:dPt>
          <c:dPt>
            <c:idx val="14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380-41E6-8DB3-972BD2F9265B}"/>
              </c:ext>
            </c:extLst>
          </c:dPt>
          <c:dPt>
            <c:idx val="14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380-41E6-8DB3-972BD2F9265B}"/>
              </c:ext>
            </c:extLst>
          </c:dPt>
          <c:dPt>
            <c:idx val="14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380-41E6-8DB3-972BD2F9265B}"/>
              </c:ext>
            </c:extLst>
          </c:dPt>
          <c:dPt>
            <c:idx val="14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380-41E6-8DB3-972BD2F9265B}"/>
              </c:ext>
            </c:extLst>
          </c:dPt>
          <c:dPt>
            <c:idx val="14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380-41E6-8DB3-972BD2F9265B}"/>
              </c:ext>
            </c:extLst>
          </c:dPt>
          <c:dPt>
            <c:idx val="14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380-41E6-8DB3-972BD2F9265B}"/>
              </c:ext>
            </c:extLst>
          </c:dPt>
          <c:dPt>
            <c:idx val="14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380-41E6-8DB3-972BD2F9265B}"/>
              </c:ext>
            </c:extLst>
          </c:dPt>
          <c:dPt>
            <c:idx val="14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380-41E6-8DB3-972BD2F9265B}"/>
              </c:ext>
            </c:extLst>
          </c:dPt>
          <c:dPt>
            <c:idx val="14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380-41E6-8DB3-972BD2F9265B}"/>
              </c:ext>
            </c:extLst>
          </c:dPt>
          <c:dPt>
            <c:idx val="14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380-41E6-8DB3-972BD2F9265B}"/>
              </c:ext>
            </c:extLst>
          </c:dPt>
          <c:dPt>
            <c:idx val="15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380-41E6-8DB3-972BD2F9265B}"/>
              </c:ext>
            </c:extLst>
          </c:dPt>
          <c:dPt>
            <c:idx val="15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380-41E6-8DB3-972BD2F9265B}"/>
              </c:ext>
            </c:extLst>
          </c:dPt>
          <c:dPt>
            <c:idx val="15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380-41E6-8DB3-972BD2F9265B}"/>
              </c:ext>
            </c:extLst>
          </c:dPt>
          <c:dPt>
            <c:idx val="15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380-41E6-8DB3-972BD2F9265B}"/>
              </c:ext>
            </c:extLst>
          </c:dPt>
          <c:dPt>
            <c:idx val="15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380-41E6-8DB3-972BD2F9265B}"/>
              </c:ext>
            </c:extLst>
          </c:dPt>
          <c:dPt>
            <c:idx val="15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380-41E6-8DB3-972BD2F9265B}"/>
              </c:ext>
            </c:extLst>
          </c:dPt>
          <c:dPt>
            <c:idx val="15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380-41E6-8DB3-972BD2F9265B}"/>
              </c:ext>
            </c:extLst>
          </c:dPt>
          <c:dPt>
            <c:idx val="15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380-41E6-8DB3-972BD2F9265B}"/>
              </c:ext>
            </c:extLst>
          </c:dPt>
          <c:dPt>
            <c:idx val="15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380-41E6-8DB3-972BD2F9265B}"/>
              </c:ext>
            </c:extLst>
          </c:dPt>
          <c:dPt>
            <c:idx val="15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380-41E6-8DB3-972BD2F9265B}"/>
              </c:ext>
            </c:extLst>
          </c:dPt>
          <c:dPt>
            <c:idx val="16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380-41E6-8DB3-972BD2F9265B}"/>
              </c:ext>
            </c:extLst>
          </c:dPt>
          <c:dPt>
            <c:idx val="16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380-41E6-8DB3-972BD2F9265B}"/>
              </c:ext>
            </c:extLst>
          </c:dPt>
          <c:dPt>
            <c:idx val="16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380-41E6-8DB3-972BD2F9265B}"/>
              </c:ext>
            </c:extLst>
          </c:dPt>
          <c:dPt>
            <c:idx val="16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380-41E6-8DB3-972BD2F9265B}"/>
              </c:ext>
            </c:extLst>
          </c:dPt>
          <c:dPt>
            <c:idx val="16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380-41E6-8DB3-972BD2F9265B}"/>
              </c:ext>
            </c:extLst>
          </c:dPt>
          <c:dPt>
            <c:idx val="16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380-41E6-8DB3-972BD2F9265B}"/>
              </c:ext>
            </c:extLst>
          </c:dPt>
          <c:dPt>
            <c:idx val="16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380-41E6-8DB3-972BD2F9265B}"/>
              </c:ext>
            </c:extLst>
          </c:dPt>
          <c:dPt>
            <c:idx val="16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380-41E6-8DB3-972BD2F9265B}"/>
              </c:ext>
            </c:extLst>
          </c:dPt>
          <c:dPt>
            <c:idx val="16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380-41E6-8DB3-972BD2F9265B}"/>
              </c:ext>
            </c:extLst>
          </c:dPt>
          <c:dPt>
            <c:idx val="16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380-41E6-8DB3-972BD2F9265B}"/>
              </c:ext>
            </c:extLst>
          </c:dPt>
          <c:dPt>
            <c:idx val="17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380-41E6-8DB3-972BD2F9265B}"/>
              </c:ext>
            </c:extLst>
          </c:dPt>
          <c:dPt>
            <c:idx val="17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380-41E6-8DB3-972BD2F9265B}"/>
              </c:ext>
            </c:extLst>
          </c:dPt>
          <c:dPt>
            <c:idx val="17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380-41E6-8DB3-972BD2F9265B}"/>
              </c:ext>
            </c:extLst>
          </c:dPt>
          <c:dPt>
            <c:idx val="17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380-41E6-8DB3-972BD2F9265B}"/>
              </c:ext>
            </c:extLst>
          </c:dPt>
          <c:dPt>
            <c:idx val="17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380-41E6-8DB3-972BD2F9265B}"/>
              </c:ext>
            </c:extLst>
          </c:dPt>
          <c:dPt>
            <c:idx val="17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380-41E6-8DB3-972BD2F9265B}"/>
              </c:ext>
            </c:extLst>
          </c:dPt>
          <c:dPt>
            <c:idx val="17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380-41E6-8DB3-972BD2F9265B}"/>
              </c:ext>
            </c:extLst>
          </c:dPt>
          <c:dPt>
            <c:idx val="17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380-41E6-8DB3-972BD2F9265B}"/>
              </c:ext>
            </c:extLst>
          </c:dPt>
          <c:dPt>
            <c:idx val="17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380-41E6-8DB3-972BD2F9265B}"/>
              </c:ext>
            </c:extLst>
          </c:dPt>
          <c:dPt>
            <c:idx val="17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D380-41E6-8DB3-972BD2F9265B}"/>
              </c:ext>
            </c:extLst>
          </c:dPt>
          <c:dPt>
            <c:idx val="18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D380-41E6-8DB3-972BD2F9265B}"/>
              </c:ext>
            </c:extLst>
          </c:dPt>
          <c:dPt>
            <c:idx val="18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D380-41E6-8DB3-972BD2F9265B}"/>
              </c:ext>
            </c:extLst>
          </c:dPt>
          <c:dPt>
            <c:idx val="18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D380-41E6-8DB3-972BD2F9265B}"/>
              </c:ext>
            </c:extLst>
          </c:dPt>
          <c:dPt>
            <c:idx val="18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D380-41E6-8DB3-972BD2F9265B}"/>
              </c:ext>
            </c:extLst>
          </c:dPt>
          <c:dPt>
            <c:idx val="18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D380-41E6-8DB3-972BD2F9265B}"/>
              </c:ext>
            </c:extLst>
          </c:dPt>
          <c:dPt>
            <c:idx val="18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D380-41E6-8DB3-972BD2F9265B}"/>
              </c:ext>
            </c:extLst>
          </c:dPt>
          <c:dPt>
            <c:idx val="18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D380-41E6-8DB3-972BD2F9265B}"/>
              </c:ext>
            </c:extLst>
          </c:dPt>
          <c:dPt>
            <c:idx val="18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D380-41E6-8DB3-972BD2F9265B}"/>
              </c:ext>
            </c:extLst>
          </c:dPt>
          <c:dPt>
            <c:idx val="18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D380-41E6-8DB3-972BD2F9265B}"/>
              </c:ext>
            </c:extLst>
          </c:dPt>
          <c:dPt>
            <c:idx val="18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D380-41E6-8DB3-972BD2F9265B}"/>
              </c:ext>
            </c:extLst>
          </c:dPt>
          <c:dPt>
            <c:idx val="19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D380-41E6-8DB3-972BD2F9265B}"/>
              </c:ext>
            </c:extLst>
          </c:dPt>
          <c:dPt>
            <c:idx val="19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D380-41E6-8DB3-972BD2F9265B}"/>
              </c:ext>
            </c:extLst>
          </c:dPt>
          <c:dPt>
            <c:idx val="19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D380-41E6-8DB3-972BD2F9265B}"/>
              </c:ext>
            </c:extLst>
          </c:dPt>
          <c:dPt>
            <c:idx val="19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D380-41E6-8DB3-972BD2F9265B}"/>
              </c:ext>
            </c:extLst>
          </c:dPt>
          <c:dPt>
            <c:idx val="19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D380-41E6-8DB3-972BD2F9265B}"/>
              </c:ext>
            </c:extLst>
          </c:dPt>
          <c:dPt>
            <c:idx val="19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D380-41E6-8DB3-972BD2F9265B}"/>
              </c:ext>
            </c:extLst>
          </c:dPt>
          <c:dPt>
            <c:idx val="19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D380-41E6-8DB3-972BD2F9265B}"/>
              </c:ext>
            </c:extLst>
          </c:dPt>
          <c:dPt>
            <c:idx val="19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D380-41E6-8DB3-972BD2F9265B}"/>
              </c:ext>
            </c:extLst>
          </c:dPt>
          <c:dPt>
            <c:idx val="19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D380-41E6-8DB3-972BD2F9265B}"/>
              </c:ext>
            </c:extLst>
          </c:dPt>
          <c:dPt>
            <c:idx val="19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D380-41E6-8DB3-972BD2F9265B}"/>
              </c:ext>
            </c:extLst>
          </c:dPt>
          <c:dPt>
            <c:idx val="20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D380-41E6-8DB3-972BD2F9265B}"/>
              </c:ext>
            </c:extLst>
          </c:dPt>
          <c:dPt>
            <c:idx val="20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D380-41E6-8DB3-972BD2F9265B}"/>
              </c:ext>
            </c:extLst>
          </c:dPt>
          <c:dPt>
            <c:idx val="20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D380-41E6-8DB3-972BD2F9265B}"/>
              </c:ext>
            </c:extLst>
          </c:dPt>
          <c:dPt>
            <c:idx val="20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D380-41E6-8DB3-972BD2F9265B}"/>
              </c:ext>
            </c:extLst>
          </c:dPt>
          <c:dPt>
            <c:idx val="20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D380-41E6-8DB3-972BD2F9265B}"/>
              </c:ext>
            </c:extLst>
          </c:dPt>
          <c:dPt>
            <c:idx val="20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D380-41E6-8DB3-972BD2F9265B}"/>
              </c:ext>
            </c:extLst>
          </c:dPt>
          <c:dPt>
            <c:idx val="20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D380-41E6-8DB3-972BD2F9265B}"/>
              </c:ext>
            </c:extLst>
          </c:dPt>
          <c:dPt>
            <c:idx val="20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D380-41E6-8DB3-972BD2F9265B}"/>
              </c:ext>
            </c:extLst>
          </c:dPt>
          <c:dPt>
            <c:idx val="20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D380-41E6-8DB3-972BD2F9265B}"/>
              </c:ext>
            </c:extLst>
          </c:dPt>
          <c:dPt>
            <c:idx val="20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D380-41E6-8DB3-972BD2F9265B}"/>
              </c:ext>
            </c:extLst>
          </c:dPt>
          <c:dPt>
            <c:idx val="21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D380-41E6-8DB3-972BD2F9265B}"/>
              </c:ext>
            </c:extLst>
          </c:dPt>
          <c:dPt>
            <c:idx val="21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D380-41E6-8DB3-972BD2F9265B}"/>
              </c:ext>
            </c:extLst>
          </c:dPt>
          <c:dPt>
            <c:idx val="21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D380-41E6-8DB3-972BD2F9265B}"/>
              </c:ext>
            </c:extLst>
          </c:dPt>
          <c:dPt>
            <c:idx val="21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D380-41E6-8DB3-972BD2F9265B}"/>
              </c:ext>
            </c:extLst>
          </c:dPt>
          <c:dPt>
            <c:idx val="21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D380-41E6-8DB3-972BD2F9265B}"/>
              </c:ext>
            </c:extLst>
          </c:dPt>
          <c:dPt>
            <c:idx val="21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D380-41E6-8DB3-972BD2F9265B}"/>
              </c:ext>
            </c:extLst>
          </c:dPt>
          <c:dPt>
            <c:idx val="21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D380-41E6-8DB3-972BD2F9265B}"/>
              </c:ext>
            </c:extLst>
          </c:dPt>
          <c:dPt>
            <c:idx val="21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D380-41E6-8DB3-972BD2F9265B}"/>
              </c:ext>
            </c:extLst>
          </c:dPt>
          <c:dPt>
            <c:idx val="21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D380-41E6-8DB3-972BD2F9265B}"/>
              </c:ext>
            </c:extLst>
          </c:dPt>
          <c:dPt>
            <c:idx val="21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D380-41E6-8DB3-972BD2F9265B}"/>
              </c:ext>
            </c:extLst>
          </c:dPt>
          <c:dPt>
            <c:idx val="22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D380-41E6-8DB3-972BD2F9265B}"/>
              </c:ext>
            </c:extLst>
          </c:dPt>
          <c:dPt>
            <c:idx val="22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D380-41E6-8DB3-972BD2F9265B}"/>
              </c:ext>
            </c:extLst>
          </c:dPt>
          <c:dPt>
            <c:idx val="22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D380-41E6-8DB3-972BD2F9265B}"/>
              </c:ext>
            </c:extLst>
          </c:dPt>
          <c:dPt>
            <c:idx val="22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D380-41E6-8DB3-972BD2F9265B}"/>
              </c:ext>
            </c:extLst>
          </c:dPt>
          <c:dPt>
            <c:idx val="22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D380-41E6-8DB3-972BD2F9265B}"/>
              </c:ext>
            </c:extLst>
          </c:dPt>
          <c:dPt>
            <c:idx val="22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D380-41E6-8DB3-972BD2F9265B}"/>
              </c:ext>
            </c:extLst>
          </c:dPt>
          <c:xVal>
            <c:numRef>
              <c:f>주가방향예측!$B$6:$B$231</c:f>
              <c:numCache>
                <c:formatCode>0.0000</c:formatCode>
                <c:ptCount val="226"/>
                <c:pt idx="0">
                  <c:v>-0.4578320342176519</c:v>
                </c:pt>
                <c:pt idx="1">
                  <c:v>-0.21033618504491525</c:v>
                </c:pt>
                <c:pt idx="2">
                  <c:v>-0.20331955014568814</c:v>
                </c:pt>
                <c:pt idx="3">
                  <c:v>-0.14080771195257422</c:v>
                </c:pt>
                <c:pt idx="4">
                  <c:v>-0.50375909901259264</c:v>
                </c:pt>
                <c:pt idx="5">
                  <c:v>-0.75253069998518884</c:v>
                </c:pt>
                <c:pt idx="6">
                  <c:v>-0.88329525947078424</c:v>
                </c:pt>
                <c:pt idx="7">
                  <c:v>-0.92603294476607645</c:v>
                </c:pt>
                <c:pt idx="8">
                  <c:v>-0.86862411377240034</c:v>
                </c:pt>
                <c:pt idx="9">
                  <c:v>-0.69639762079137224</c:v>
                </c:pt>
                <c:pt idx="10">
                  <c:v>-0.61666313330015554</c:v>
                </c:pt>
                <c:pt idx="11">
                  <c:v>-0.3889414370252407</c:v>
                </c:pt>
                <c:pt idx="12">
                  <c:v>0.13411680091714107</c:v>
                </c:pt>
                <c:pt idx="13">
                  <c:v>0.50472269877631637</c:v>
                </c:pt>
                <c:pt idx="14">
                  <c:v>0.54108162507231117</c:v>
                </c:pt>
                <c:pt idx="15">
                  <c:v>0.57999205496802497</c:v>
                </c:pt>
                <c:pt idx="16">
                  <c:v>0.51429083727526237</c:v>
                </c:pt>
                <c:pt idx="17">
                  <c:v>0.12710016601791396</c:v>
                </c:pt>
                <c:pt idx="18">
                  <c:v>3.2694532828313382E-2</c:v>
                </c:pt>
                <c:pt idx="19">
                  <c:v>0.16026971281426014</c:v>
                </c:pt>
                <c:pt idx="20">
                  <c:v>3.2056656928383644E-2</c:v>
                </c:pt>
                <c:pt idx="21">
                  <c:v>-0.31813721213304025</c:v>
                </c:pt>
                <c:pt idx="22">
                  <c:v>-0.46165928961723035</c:v>
                </c:pt>
                <c:pt idx="23">
                  <c:v>-0.71744752548905355</c:v>
                </c:pt>
                <c:pt idx="24">
                  <c:v>-0.80866377917900534</c:v>
                </c:pt>
                <c:pt idx="25">
                  <c:v>-0.72701566398799966</c:v>
                </c:pt>
                <c:pt idx="26">
                  <c:v>-0.38128692622608379</c:v>
                </c:pt>
                <c:pt idx="27">
                  <c:v>-0.38511418162566224</c:v>
                </c:pt>
                <c:pt idx="28">
                  <c:v>-0.32068871573275914</c:v>
                </c:pt>
                <c:pt idx="29">
                  <c:v>-0.11401692415552538</c:v>
                </c:pt>
                <c:pt idx="30">
                  <c:v>0.24191782800526607</c:v>
                </c:pt>
                <c:pt idx="31">
                  <c:v>0.32356594319627197</c:v>
                </c:pt>
                <c:pt idx="32">
                  <c:v>0.54809825997153827</c:v>
                </c:pt>
                <c:pt idx="33">
                  <c:v>0.59785258016605758</c:v>
                </c:pt>
                <c:pt idx="34">
                  <c:v>0.23553906900596874</c:v>
                </c:pt>
                <c:pt idx="35">
                  <c:v>-0.26264200883915334</c:v>
                </c:pt>
                <c:pt idx="36">
                  <c:v>-0.51141360981174955</c:v>
                </c:pt>
                <c:pt idx="37">
                  <c:v>-0.67215833659404245</c:v>
                </c:pt>
                <c:pt idx="38">
                  <c:v>-0.56754668900556615</c:v>
                </c:pt>
                <c:pt idx="39">
                  <c:v>-0.62495551999924215</c:v>
                </c:pt>
                <c:pt idx="40">
                  <c:v>-0.78442449498167544</c:v>
                </c:pt>
                <c:pt idx="41">
                  <c:v>-0.97323576136087675</c:v>
                </c:pt>
                <c:pt idx="42">
                  <c:v>-1.0625383873510394</c:v>
                </c:pt>
                <c:pt idx="43">
                  <c:v>-1.4312306575104257</c:v>
                </c:pt>
                <c:pt idx="44">
                  <c:v>-1.741238344876276</c:v>
                </c:pt>
                <c:pt idx="45">
                  <c:v>-1.7431519725760656</c:v>
                </c:pt>
                <c:pt idx="46">
                  <c:v>-1.6564008501856216</c:v>
                </c:pt>
                <c:pt idx="47">
                  <c:v>-1.5173439040009395</c:v>
                </c:pt>
                <c:pt idx="48">
                  <c:v>-1.2411436393313651</c:v>
                </c:pt>
                <c:pt idx="49">
                  <c:v>-0.80164714427977835</c:v>
                </c:pt>
                <c:pt idx="50">
                  <c:v>-0.73339442298729673</c:v>
                </c:pt>
                <c:pt idx="51">
                  <c:v>-0.55351341920711195</c:v>
                </c:pt>
                <c:pt idx="52">
                  <c:v>-0.35768551792868364</c:v>
                </c:pt>
                <c:pt idx="53">
                  <c:v>-0.29517367973556974</c:v>
                </c:pt>
                <c:pt idx="54">
                  <c:v>-0.42466248742130563</c:v>
                </c:pt>
                <c:pt idx="55">
                  <c:v>-0.4801576907151926</c:v>
                </c:pt>
                <c:pt idx="56">
                  <c:v>-0.69639762079137235</c:v>
                </c:pt>
                <c:pt idx="57">
                  <c:v>-1.0963458100473154</c:v>
                </c:pt>
                <c:pt idx="58">
                  <c:v>-1.3578749290185061</c:v>
                </c:pt>
                <c:pt idx="59">
                  <c:v>-1.2590041645293977</c:v>
                </c:pt>
                <c:pt idx="60">
                  <c:v>-0.99556141785841756</c:v>
                </c:pt>
                <c:pt idx="61">
                  <c:v>-0.76783972158350244</c:v>
                </c:pt>
                <c:pt idx="62">
                  <c:v>-0.44826389571870584</c:v>
                </c:pt>
                <c:pt idx="63">
                  <c:v>3.0780905128524161E-2</c:v>
                </c:pt>
                <c:pt idx="64">
                  <c:v>0.40967918968678607</c:v>
                </c:pt>
                <c:pt idx="65">
                  <c:v>0.59849045606598728</c:v>
                </c:pt>
                <c:pt idx="66">
                  <c:v>0.87150134123591327</c:v>
                </c:pt>
                <c:pt idx="67">
                  <c:v>1.1228244458082286</c:v>
                </c:pt>
                <c:pt idx="68">
                  <c:v>1.0335218198180656</c:v>
                </c:pt>
                <c:pt idx="69">
                  <c:v>0.77454420444659378</c:v>
                </c:pt>
                <c:pt idx="70">
                  <c:v>0.68013857125699306</c:v>
                </c:pt>
                <c:pt idx="71">
                  <c:v>0.46708802068046201</c:v>
                </c:pt>
                <c:pt idx="72">
                  <c:v>0.34844310329353156</c:v>
                </c:pt>
                <c:pt idx="73">
                  <c:v>0.36502787669170467</c:v>
                </c:pt>
                <c:pt idx="74">
                  <c:v>0.69608546875523647</c:v>
                </c:pt>
                <c:pt idx="75">
                  <c:v>0.71267024215340957</c:v>
                </c:pt>
                <c:pt idx="76">
                  <c:v>0.71904900115270687</c:v>
                </c:pt>
                <c:pt idx="77">
                  <c:v>0.50089544337673786</c:v>
                </c:pt>
                <c:pt idx="78">
                  <c:v>0.24638295930477411</c:v>
                </c:pt>
                <c:pt idx="79">
                  <c:v>-0.26710714013866149</c:v>
                </c:pt>
                <c:pt idx="80">
                  <c:v>-0.36725365642762969</c:v>
                </c:pt>
                <c:pt idx="81">
                  <c:v>-0.43359275002032199</c:v>
                </c:pt>
                <c:pt idx="82">
                  <c:v>-0.4954667123135062</c:v>
                </c:pt>
                <c:pt idx="83">
                  <c:v>-0.52927413500978204</c:v>
                </c:pt>
                <c:pt idx="84">
                  <c:v>-0.22118007534372061</c:v>
                </c:pt>
                <c:pt idx="85">
                  <c:v>0.52641047937392726</c:v>
                </c:pt>
                <c:pt idx="86">
                  <c:v>1.3224796024862351</c:v>
                </c:pt>
                <c:pt idx="87">
                  <c:v>2.0471066248064123</c:v>
                </c:pt>
                <c:pt idx="88">
                  <c:v>2.6390554599412055</c:v>
                </c:pt>
                <c:pt idx="89">
                  <c:v>2.898670951212607</c:v>
                </c:pt>
                <c:pt idx="90">
                  <c:v>2.5944041469461241</c:v>
                </c:pt>
                <c:pt idx="91">
                  <c:v>2.139598630296224</c:v>
                </c:pt>
                <c:pt idx="92">
                  <c:v>1.6860688654461833</c:v>
                </c:pt>
                <c:pt idx="93">
                  <c:v>1.3314098650852513</c:v>
                </c:pt>
                <c:pt idx="94">
                  <c:v>1.004179528421298</c:v>
                </c:pt>
                <c:pt idx="95">
                  <c:v>0.71267024215340946</c:v>
                </c:pt>
                <c:pt idx="96">
                  <c:v>0.57552692366851677</c:v>
                </c:pt>
                <c:pt idx="97">
                  <c:v>0.58190568266781428</c:v>
                </c:pt>
                <c:pt idx="98">
                  <c:v>0.62974637516254417</c:v>
                </c:pt>
                <c:pt idx="99">
                  <c:v>0.75732155514849098</c:v>
                </c:pt>
                <c:pt idx="100">
                  <c:v>0.91232539883141628</c:v>
                </c:pt>
                <c:pt idx="101">
                  <c:v>1.2535890052938239</c:v>
                </c:pt>
                <c:pt idx="102">
                  <c:v>1.5852844732572851</c:v>
                </c:pt>
                <c:pt idx="103">
                  <c:v>1.6554508222495561</c:v>
                </c:pt>
                <c:pt idx="104">
                  <c:v>1.5176696278647337</c:v>
                </c:pt>
                <c:pt idx="105">
                  <c:v>1.3441673830838459</c:v>
                </c:pt>
                <c:pt idx="106">
                  <c:v>0.88234523153471867</c:v>
                </c:pt>
                <c:pt idx="107">
                  <c:v>0.43646997748383487</c:v>
                </c:pt>
                <c:pt idx="108">
                  <c:v>8.1810977122902903E-2</c:v>
                </c:pt>
                <c:pt idx="109">
                  <c:v>-3.3644560764378925E-2</c:v>
                </c:pt>
                <c:pt idx="110">
                  <c:v>-0.28305403763690479</c:v>
                </c:pt>
                <c:pt idx="111">
                  <c:v>-0.53820439760879835</c:v>
                </c:pt>
                <c:pt idx="112">
                  <c:v>-0.95792673976256315</c:v>
                </c:pt>
                <c:pt idx="113">
                  <c:v>-1.119309342444786</c:v>
                </c:pt>
                <c:pt idx="114">
                  <c:v>-1.2398678875315055</c:v>
                </c:pt>
                <c:pt idx="115">
                  <c:v>-1.1786318011382511</c:v>
                </c:pt>
                <c:pt idx="116">
                  <c:v>-1.0465914898527962</c:v>
                </c:pt>
                <c:pt idx="117">
                  <c:v>-0.73467017478715635</c:v>
                </c:pt>
                <c:pt idx="118">
                  <c:v>-0.39723382372432708</c:v>
                </c:pt>
                <c:pt idx="119">
                  <c:v>-0.13953196015271468</c:v>
                </c:pt>
                <c:pt idx="120">
                  <c:v>0.25148596650421207</c:v>
                </c:pt>
                <c:pt idx="121">
                  <c:v>0.56595878516957077</c:v>
                </c:pt>
                <c:pt idx="122">
                  <c:v>0.57233754416886806</c:v>
                </c:pt>
                <c:pt idx="123">
                  <c:v>0.65972654245924167</c:v>
                </c:pt>
                <c:pt idx="124">
                  <c:v>0.57935417906809517</c:v>
                </c:pt>
                <c:pt idx="125">
                  <c:v>0.21640279200807672</c:v>
                </c:pt>
                <c:pt idx="126">
                  <c:v>-0.20204379834582867</c:v>
                </c:pt>
                <c:pt idx="127">
                  <c:v>-0.36470215282791074</c:v>
                </c:pt>
                <c:pt idx="128">
                  <c:v>-0.70724151109017774</c:v>
                </c:pt>
                <c:pt idx="129">
                  <c:v>-0.87436499687176794</c:v>
                </c:pt>
                <c:pt idx="130">
                  <c:v>-0.81631828997816225</c:v>
                </c:pt>
                <c:pt idx="131">
                  <c:v>-0.60071623580191225</c:v>
                </c:pt>
                <c:pt idx="132">
                  <c:v>-0.48526069791463045</c:v>
                </c:pt>
                <c:pt idx="133">
                  <c:v>-0.26327988473908304</c:v>
                </c:pt>
                <c:pt idx="134">
                  <c:v>7.0329210924167662E-2</c:v>
                </c:pt>
                <c:pt idx="135">
                  <c:v>0.18578474881144946</c:v>
                </c:pt>
                <c:pt idx="136">
                  <c:v>0.18514687291151974</c:v>
                </c:pt>
                <c:pt idx="137">
                  <c:v>0.31782506009690437</c:v>
                </c:pt>
                <c:pt idx="138">
                  <c:v>0.37778539469029931</c:v>
                </c:pt>
                <c:pt idx="139">
                  <c:v>0.29549940359936372</c:v>
                </c:pt>
                <c:pt idx="140">
                  <c:v>0.20555890170927121</c:v>
                </c:pt>
                <c:pt idx="141">
                  <c:v>8.8189736122200199E-2</c:v>
                </c:pt>
                <c:pt idx="142">
                  <c:v>-0.1025351579567902</c:v>
                </c:pt>
                <c:pt idx="143">
                  <c:v>-0.30155243873486715</c:v>
                </c:pt>
                <c:pt idx="144">
                  <c:v>-0.79016537808104315</c:v>
                </c:pt>
                <c:pt idx="145">
                  <c:v>-1.1422728748422564</c:v>
                </c:pt>
                <c:pt idx="146">
                  <c:v>-1.5294635460996049</c:v>
                </c:pt>
                <c:pt idx="147">
                  <c:v>-1.8464878683646824</c:v>
                </c:pt>
                <c:pt idx="148">
                  <c:v>-2.0844155790384731</c:v>
                </c:pt>
                <c:pt idx="149">
                  <c:v>-2.0614520466410027</c:v>
                </c:pt>
                <c:pt idx="150">
                  <c:v>-2.0595384189412136</c:v>
                </c:pt>
                <c:pt idx="151">
                  <c:v>-1.8248000877670711</c:v>
                </c:pt>
                <c:pt idx="152">
                  <c:v>-1.5779421144942642</c:v>
                </c:pt>
                <c:pt idx="153">
                  <c:v>-1.4159216359121121</c:v>
                </c:pt>
                <c:pt idx="154">
                  <c:v>-1.2118013479345973</c:v>
                </c:pt>
                <c:pt idx="155">
                  <c:v>-0.74742769278575105</c:v>
                </c:pt>
                <c:pt idx="156">
                  <c:v>-0.55797855050662015</c:v>
                </c:pt>
                <c:pt idx="157">
                  <c:v>-0.40297470682369479</c:v>
                </c:pt>
                <c:pt idx="158">
                  <c:v>-5.3418713662200655E-2</c:v>
                </c:pt>
                <c:pt idx="159">
                  <c:v>0.23936632440554712</c:v>
                </c:pt>
                <c:pt idx="160">
                  <c:v>6.7777707324448738E-2</c:v>
                </c:pt>
                <c:pt idx="161">
                  <c:v>0.30825692159795837</c:v>
                </c:pt>
                <c:pt idx="162">
                  <c:v>0.37714751879036956</c:v>
                </c:pt>
                <c:pt idx="163">
                  <c:v>0.22852243410674164</c:v>
                </c:pt>
                <c:pt idx="164">
                  <c:v>0.18387112111166026</c:v>
                </c:pt>
                <c:pt idx="165">
                  <c:v>0.25786472550350942</c:v>
                </c:pt>
                <c:pt idx="166">
                  <c:v>3.7797540027751243E-2</c:v>
                </c:pt>
                <c:pt idx="167">
                  <c:v>6.1398948325151394E-2</c:v>
                </c:pt>
                <c:pt idx="168">
                  <c:v>0.1181699034188977</c:v>
                </c:pt>
                <c:pt idx="169">
                  <c:v>-8.0847377359179212E-2</c:v>
                </c:pt>
                <c:pt idx="170">
                  <c:v>-0.24031635234161267</c:v>
                </c:pt>
                <c:pt idx="171">
                  <c:v>-0.16440912024997434</c:v>
                </c:pt>
                <c:pt idx="172">
                  <c:v>-6.1711100361287199E-2</c:v>
                </c:pt>
                <c:pt idx="173">
                  <c:v>7.3518590423816296E-2</c:v>
                </c:pt>
                <c:pt idx="174">
                  <c:v>0.40266255478755897</c:v>
                </c:pt>
                <c:pt idx="175">
                  <c:v>0.72478988425207447</c:v>
                </c:pt>
                <c:pt idx="176">
                  <c:v>0.76625181774750728</c:v>
                </c:pt>
                <c:pt idx="177">
                  <c:v>0.75540792744870167</c:v>
                </c:pt>
                <c:pt idx="178">
                  <c:v>0.59593895246626827</c:v>
                </c:pt>
                <c:pt idx="179">
                  <c:v>0.45241687498207828</c:v>
                </c:pt>
                <c:pt idx="180">
                  <c:v>0.24000420030547684</c:v>
                </c:pt>
                <c:pt idx="181">
                  <c:v>0.16473484411376829</c:v>
                </c:pt>
                <c:pt idx="182">
                  <c:v>0.16983785131320614</c:v>
                </c:pt>
                <c:pt idx="183">
                  <c:v>0.36183849719205596</c:v>
                </c:pt>
                <c:pt idx="184">
                  <c:v>0.49068942897786216</c:v>
                </c:pt>
                <c:pt idx="185">
                  <c:v>0.72096262885249607</c:v>
                </c:pt>
                <c:pt idx="186">
                  <c:v>0.71968687705263668</c:v>
                </c:pt>
                <c:pt idx="187">
                  <c:v>0.62017823666359817</c:v>
                </c:pt>
                <c:pt idx="188">
                  <c:v>0.56021790207020317</c:v>
                </c:pt>
                <c:pt idx="189">
                  <c:v>0.65845079065938217</c:v>
                </c:pt>
                <c:pt idx="190">
                  <c:v>0.71203236625347976</c:v>
                </c:pt>
                <c:pt idx="191">
                  <c:v>0.91360115063127567</c:v>
                </c:pt>
                <c:pt idx="192">
                  <c:v>1.0922064026116012</c:v>
                </c:pt>
                <c:pt idx="193">
                  <c:v>1.124100197608088</c:v>
                </c:pt>
                <c:pt idx="194">
                  <c:v>1.0743458774135686</c:v>
                </c:pt>
                <c:pt idx="195">
                  <c:v>0.97292360932474087</c:v>
                </c:pt>
                <c:pt idx="196">
                  <c:v>0.89574062543324318</c:v>
                </c:pt>
                <c:pt idx="197">
                  <c:v>0.84662418113865345</c:v>
                </c:pt>
                <c:pt idx="198">
                  <c:v>0.76306243824785835</c:v>
                </c:pt>
                <c:pt idx="199">
                  <c:v>0.66610530145853897</c:v>
                </c:pt>
                <c:pt idx="200">
                  <c:v>0.64888265216043617</c:v>
                </c:pt>
                <c:pt idx="201">
                  <c:v>0.61890248486373867</c:v>
                </c:pt>
                <c:pt idx="202">
                  <c:v>0.66100229425910106</c:v>
                </c:pt>
                <c:pt idx="203">
                  <c:v>0.71458386985319877</c:v>
                </c:pt>
                <c:pt idx="204">
                  <c:v>0.54044374917238147</c:v>
                </c:pt>
                <c:pt idx="205">
                  <c:v>0.49451668437744073</c:v>
                </c:pt>
                <c:pt idx="206">
                  <c:v>0.21640279200807666</c:v>
                </c:pt>
                <c:pt idx="207">
                  <c:v>1.2282504030561896E-2</c:v>
                </c:pt>
                <c:pt idx="208">
                  <c:v>-0.27986465813725614</c:v>
                </c:pt>
                <c:pt idx="209">
                  <c:v>-0.47760618711547365</c:v>
                </c:pt>
                <c:pt idx="210">
                  <c:v>-0.67152046069411264</c:v>
                </c:pt>
                <c:pt idx="211">
                  <c:v>-0.51715449291111715</c:v>
                </c:pt>
                <c:pt idx="212">
                  <c:v>-0.35385826252910524</c:v>
                </c:pt>
                <c:pt idx="213">
                  <c:v>-8.9139764058265805E-2</c:v>
                </c:pt>
                <c:pt idx="214">
                  <c:v>0.27636312660147166</c:v>
                </c:pt>
                <c:pt idx="215">
                  <c:v>0.43710785338376457</c:v>
                </c:pt>
                <c:pt idx="216">
                  <c:v>0.57616479956844668</c:v>
                </c:pt>
                <c:pt idx="217">
                  <c:v>0.51301508547540287</c:v>
                </c:pt>
                <c:pt idx="218">
                  <c:v>0.34589159969381267</c:v>
                </c:pt>
                <c:pt idx="219">
                  <c:v>0.18195749341187106</c:v>
                </c:pt>
                <c:pt idx="220">
                  <c:v>0.15389095381496279</c:v>
                </c:pt>
                <c:pt idx="221">
                  <c:v>9.0103363821989427E-2</c:v>
                </c:pt>
                <c:pt idx="222">
                  <c:v>-0.13698045655299579</c:v>
                </c:pt>
                <c:pt idx="223">
                  <c:v>-0.36023702152840259</c:v>
                </c:pt>
                <c:pt idx="224">
                  <c:v>-0.50439697491252244</c:v>
                </c:pt>
                <c:pt idx="225">
                  <c:v>-0.63771303799783685</c:v>
                </c:pt>
              </c:numCache>
            </c:numRef>
          </c:xVal>
          <c:yVal>
            <c:numRef>
              <c:f>주가방향예측!$C$6:$C$231</c:f>
              <c:numCache>
                <c:formatCode>0.0000</c:formatCode>
                <c:ptCount val="226"/>
                <c:pt idx="0">
                  <c:v>0.41673153006060204</c:v>
                </c:pt>
                <c:pt idx="1">
                  <c:v>0.78008313798446616</c:v>
                </c:pt>
                <c:pt idx="2">
                  <c:v>1.2472494910294345</c:v>
                </c:pt>
                <c:pt idx="3">
                  <c:v>0.91850279814593816</c:v>
                </c:pt>
                <c:pt idx="4">
                  <c:v>0.65896593534317816</c:v>
                </c:pt>
                <c:pt idx="5">
                  <c:v>0.4513364451009701</c:v>
                </c:pt>
                <c:pt idx="6">
                  <c:v>0.19179958229820987</c:v>
                </c:pt>
                <c:pt idx="7">
                  <c:v>-3.3132365464182204E-2</c:v>
                </c:pt>
                <c:pt idx="8">
                  <c:v>-0.13694711058528625</c:v>
                </c:pt>
                <c:pt idx="9">
                  <c:v>-1.5829907943998189E-2</c:v>
                </c:pt>
                <c:pt idx="10">
                  <c:v>-0.10234219554491822</c:v>
                </c:pt>
                <c:pt idx="11">
                  <c:v>-8.5039738024734204E-2</c:v>
                </c:pt>
                <c:pt idx="12">
                  <c:v>5.3379922136737833E-2</c:v>
                </c:pt>
                <c:pt idx="13">
                  <c:v>-5.0434822984366204E-2</c:v>
                </c:pt>
                <c:pt idx="14">
                  <c:v>5.3379922136737826E-2</c:v>
                </c:pt>
                <c:pt idx="15">
                  <c:v>0.39942907254041798</c:v>
                </c:pt>
                <c:pt idx="16">
                  <c:v>0.55515119022207404</c:v>
                </c:pt>
                <c:pt idx="17">
                  <c:v>0.2437069548587619</c:v>
                </c:pt>
                <c:pt idx="18">
                  <c:v>0.64166347782299415</c:v>
                </c:pt>
                <c:pt idx="19">
                  <c:v>0.38212661502023393</c:v>
                </c:pt>
                <c:pt idx="20">
                  <c:v>0.19179958229820987</c:v>
                </c:pt>
                <c:pt idx="21">
                  <c:v>0.33021924245968187</c:v>
                </c:pt>
                <c:pt idx="22">
                  <c:v>0.67626839286336204</c:v>
                </c:pt>
                <c:pt idx="23">
                  <c:v>0.26100941237894587</c:v>
                </c:pt>
                <c:pt idx="24">
                  <c:v>0.60705856278262604</c:v>
                </c:pt>
                <c:pt idx="25">
                  <c:v>0.45133644510096999</c:v>
                </c:pt>
                <c:pt idx="26">
                  <c:v>0.27831186989912993</c:v>
                </c:pt>
                <c:pt idx="27">
                  <c:v>0.45133644510096999</c:v>
                </c:pt>
                <c:pt idx="28">
                  <c:v>0.36482415750004998</c:v>
                </c:pt>
                <c:pt idx="29">
                  <c:v>0.79738559550465005</c:v>
                </c:pt>
                <c:pt idx="30">
                  <c:v>1.0569224583074104</c:v>
                </c:pt>
                <c:pt idx="31">
                  <c:v>1.1261322883881462</c:v>
                </c:pt>
                <c:pt idx="32">
                  <c:v>0.79738559550465005</c:v>
                </c:pt>
                <c:pt idx="33">
                  <c:v>0.98771262822667416</c:v>
                </c:pt>
                <c:pt idx="34">
                  <c:v>0.20910203981839387</c:v>
                </c:pt>
                <c:pt idx="35">
                  <c:v>-0.11964465306510226</c:v>
                </c:pt>
                <c:pt idx="36">
                  <c:v>-0.32727414330731036</c:v>
                </c:pt>
                <c:pt idx="37">
                  <c:v>-0.29266922826694236</c:v>
                </c:pt>
                <c:pt idx="38">
                  <c:v>3.6077464616553812E-2</c:v>
                </c:pt>
                <c:pt idx="39">
                  <c:v>0.48594136014133804</c:v>
                </c:pt>
                <c:pt idx="40">
                  <c:v>1.0569224583074104</c:v>
                </c:pt>
                <c:pt idx="41">
                  <c:v>1.0396200007872263</c:v>
                </c:pt>
                <c:pt idx="42">
                  <c:v>0.78008313798446627</c:v>
                </c:pt>
                <c:pt idx="43">
                  <c:v>0.43403398758078604</c:v>
                </c:pt>
                <c:pt idx="44">
                  <c:v>0.36482415750004998</c:v>
                </c:pt>
                <c:pt idx="45">
                  <c:v>-6.7737280504550218E-2</c:v>
                </c:pt>
                <c:pt idx="46">
                  <c:v>-0.17155202562565425</c:v>
                </c:pt>
                <c:pt idx="47">
                  <c:v>7.0682379656921854E-2</c:v>
                </c:pt>
                <c:pt idx="48">
                  <c:v>7.0682379656921868E-2</c:v>
                </c:pt>
                <c:pt idx="49">
                  <c:v>-0.37918151586786236</c:v>
                </c:pt>
                <c:pt idx="50">
                  <c:v>-0.11964465306510226</c:v>
                </c:pt>
                <c:pt idx="51">
                  <c:v>8.7984837177105826E-2</c:v>
                </c:pt>
                <c:pt idx="52">
                  <c:v>0.15719466725784187</c:v>
                </c:pt>
                <c:pt idx="53">
                  <c:v>0.45133644510096999</c:v>
                </c:pt>
                <c:pt idx="54">
                  <c:v>0.74547822294409816</c:v>
                </c:pt>
                <c:pt idx="55">
                  <c:v>1.5240888113523785</c:v>
                </c:pt>
                <c:pt idx="56">
                  <c:v>1.8009281316753225</c:v>
                </c:pt>
                <c:pt idx="57">
                  <c:v>1.6106010989532984</c:v>
                </c:pt>
                <c:pt idx="58">
                  <c:v>1.2991568635899864</c:v>
                </c:pt>
                <c:pt idx="59">
                  <c:v>0.97041017070649027</c:v>
                </c:pt>
                <c:pt idx="60">
                  <c:v>0.19179958229820987</c:v>
                </c:pt>
                <c:pt idx="61">
                  <c:v>-0.20615694066602228</c:v>
                </c:pt>
                <c:pt idx="62">
                  <c:v>-0.10234219554491823</c:v>
                </c:pt>
                <c:pt idx="63">
                  <c:v>1.8775007096369811E-2</c:v>
                </c:pt>
                <c:pt idx="64">
                  <c:v>0.2437069548587619</c:v>
                </c:pt>
                <c:pt idx="65">
                  <c:v>1.8775007096369808E-2</c:v>
                </c:pt>
                <c:pt idx="66">
                  <c:v>0.2437069548587619</c:v>
                </c:pt>
                <c:pt idx="67">
                  <c:v>-8.5039738024734232E-2</c:v>
                </c:pt>
                <c:pt idx="68">
                  <c:v>-0.24076185570639028</c:v>
                </c:pt>
                <c:pt idx="69">
                  <c:v>-0.37918151586786236</c:v>
                </c:pt>
                <c:pt idx="70">
                  <c:v>-0.55220609106970242</c:v>
                </c:pt>
                <c:pt idx="71">
                  <c:v>-0.81174295387246254</c:v>
                </c:pt>
                <c:pt idx="72">
                  <c:v>-0.37918151586786236</c:v>
                </c:pt>
                <c:pt idx="73">
                  <c:v>-0.51760117602933442</c:v>
                </c:pt>
                <c:pt idx="74">
                  <c:v>0.15719466725784192</c:v>
                </c:pt>
                <c:pt idx="75">
                  <c:v>0.31291678493949798</c:v>
                </c:pt>
                <c:pt idx="76">
                  <c:v>0.3994290725404181</c:v>
                </c:pt>
                <c:pt idx="77">
                  <c:v>0.10528729469728988</c:v>
                </c:pt>
                <c:pt idx="78">
                  <c:v>5.3379922136737923E-2</c:v>
                </c:pt>
                <c:pt idx="79">
                  <c:v>-0.65602083619080642</c:v>
                </c:pt>
                <c:pt idx="80">
                  <c:v>-0.29266922826694236</c:v>
                </c:pt>
                <c:pt idx="81">
                  <c:v>-0.22345939818620625</c:v>
                </c:pt>
                <c:pt idx="82">
                  <c:v>-0.18885448314583822</c:v>
                </c:pt>
                <c:pt idx="83">
                  <c:v>-8.5039738024734218E-2</c:v>
                </c:pt>
                <c:pt idx="84">
                  <c:v>0.12258975221747388</c:v>
                </c:pt>
                <c:pt idx="85">
                  <c:v>0.50324381766152193</c:v>
                </c:pt>
                <c:pt idx="86">
                  <c:v>0.58975610526244204</c:v>
                </c:pt>
                <c:pt idx="87">
                  <c:v>0.50324381766152204</c:v>
                </c:pt>
                <c:pt idx="88">
                  <c:v>0.64166347782299404</c:v>
                </c:pt>
                <c:pt idx="89">
                  <c:v>0.55515119022207404</c:v>
                </c:pt>
                <c:pt idx="90">
                  <c:v>8.7984837177105854E-2</c:v>
                </c:pt>
                <c:pt idx="91">
                  <c:v>-0.24076185570639025</c:v>
                </c:pt>
                <c:pt idx="92">
                  <c:v>-0.24076185570639028</c:v>
                </c:pt>
                <c:pt idx="93">
                  <c:v>-0.36187905834767836</c:v>
                </c:pt>
                <c:pt idx="94">
                  <c:v>-0.36187905834767836</c:v>
                </c:pt>
                <c:pt idx="95">
                  <c:v>-0.58681100611007042</c:v>
                </c:pt>
                <c:pt idx="96">
                  <c:v>-0.37918151586786236</c:v>
                </c:pt>
                <c:pt idx="97">
                  <c:v>-0.20615694066602228</c:v>
                </c:pt>
                <c:pt idx="98">
                  <c:v>-0.18885448314583825</c:v>
                </c:pt>
                <c:pt idx="99">
                  <c:v>-0.29266922826694231</c:v>
                </c:pt>
                <c:pt idx="100">
                  <c:v>0.43403398758078593</c:v>
                </c:pt>
                <c:pt idx="101">
                  <c:v>0.90120034062575416</c:v>
                </c:pt>
                <c:pt idx="102">
                  <c:v>0.78008313798446616</c:v>
                </c:pt>
                <c:pt idx="103">
                  <c:v>1.0050150857468583</c:v>
                </c:pt>
                <c:pt idx="104">
                  <c:v>1.3164593211101703</c:v>
                </c:pt>
                <c:pt idx="105">
                  <c:v>0.55515119022207404</c:v>
                </c:pt>
                <c:pt idx="106">
                  <c:v>1.8775007096369832E-2</c:v>
                </c:pt>
                <c:pt idx="107">
                  <c:v>8.7984837177105882E-2</c:v>
                </c:pt>
                <c:pt idx="108">
                  <c:v>1.8775007096369829E-2</c:v>
                </c:pt>
                <c:pt idx="109">
                  <c:v>-0.17155202562565425</c:v>
                </c:pt>
                <c:pt idx="110">
                  <c:v>-0.29266922826694231</c:v>
                </c:pt>
                <c:pt idx="111">
                  <c:v>-0.30997168578712631</c:v>
                </c:pt>
                <c:pt idx="112">
                  <c:v>-0.2234593981862063</c:v>
                </c:pt>
                <c:pt idx="113">
                  <c:v>-0.34457660082749436</c:v>
                </c:pt>
                <c:pt idx="114">
                  <c:v>-0.44839134594859847</c:v>
                </c:pt>
                <c:pt idx="115">
                  <c:v>-0.41378643090823031</c:v>
                </c:pt>
                <c:pt idx="116">
                  <c:v>-0.39648397338804636</c:v>
                </c:pt>
                <c:pt idx="117">
                  <c:v>-0.51760117602933442</c:v>
                </c:pt>
                <c:pt idx="118">
                  <c:v>-0.46569380346878236</c:v>
                </c:pt>
                <c:pt idx="119">
                  <c:v>-0.58681100611007042</c:v>
                </c:pt>
                <c:pt idx="120">
                  <c:v>-0.20615694066602228</c:v>
                </c:pt>
                <c:pt idx="121">
                  <c:v>-0.13694711058528625</c:v>
                </c:pt>
                <c:pt idx="122">
                  <c:v>0.20910203981839387</c:v>
                </c:pt>
                <c:pt idx="123">
                  <c:v>0.39942907254041798</c:v>
                </c:pt>
                <c:pt idx="124">
                  <c:v>0.69357085038354604</c:v>
                </c:pt>
                <c:pt idx="125">
                  <c:v>0.17449712477802587</c:v>
                </c:pt>
                <c:pt idx="126">
                  <c:v>1.8775007096369832E-2</c:v>
                </c:pt>
                <c:pt idx="127">
                  <c:v>-0.46569380346878236</c:v>
                </c:pt>
                <c:pt idx="128">
                  <c:v>-0.88095278395319843</c:v>
                </c:pt>
                <c:pt idx="129">
                  <c:v>-1.1404896467559587</c:v>
                </c:pt>
                <c:pt idx="130">
                  <c:v>-0.81174295387246254</c:v>
                </c:pt>
                <c:pt idx="131">
                  <c:v>-0.63871837867062242</c:v>
                </c:pt>
                <c:pt idx="132">
                  <c:v>-0.55220609106970231</c:v>
                </c:pt>
                <c:pt idx="133">
                  <c:v>-0.37918151586786231</c:v>
                </c:pt>
                <c:pt idx="134">
                  <c:v>-5.0434822984366211E-2</c:v>
                </c:pt>
                <c:pt idx="135">
                  <c:v>1.4725495761858109E-3</c:v>
                </c:pt>
                <c:pt idx="136">
                  <c:v>1.8775007096369825E-2</c:v>
                </c:pt>
                <c:pt idx="137">
                  <c:v>0.12258975221747388</c:v>
                </c:pt>
                <c:pt idx="138">
                  <c:v>0.2091020398183939</c:v>
                </c:pt>
                <c:pt idx="139">
                  <c:v>-5.0434822984366204E-2</c:v>
                </c:pt>
                <c:pt idx="140">
                  <c:v>-0.36187905834767836</c:v>
                </c:pt>
                <c:pt idx="141">
                  <c:v>-0.37918151586786236</c:v>
                </c:pt>
                <c:pt idx="142">
                  <c:v>-0.36187905834767836</c:v>
                </c:pt>
                <c:pt idx="143">
                  <c:v>-0.48299626098896642</c:v>
                </c:pt>
                <c:pt idx="144">
                  <c:v>0.17449712477802587</c:v>
                </c:pt>
                <c:pt idx="145">
                  <c:v>0.46863890262115399</c:v>
                </c:pt>
                <c:pt idx="146">
                  <c:v>0.76278068046428205</c:v>
                </c:pt>
                <c:pt idx="147">
                  <c:v>0.88389788310557016</c:v>
                </c:pt>
                <c:pt idx="148">
                  <c:v>0.97041017070649027</c:v>
                </c:pt>
                <c:pt idx="149">
                  <c:v>0.36482415750004998</c:v>
                </c:pt>
                <c:pt idx="150">
                  <c:v>0.19179958229820987</c:v>
                </c:pt>
                <c:pt idx="151">
                  <c:v>-0.30997168578712631</c:v>
                </c:pt>
                <c:pt idx="152">
                  <c:v>-0.67332329371099053</c:v>
                </c:pt>
                <c:pt idx="153">
                  <c:v>-0.58681100611007042</c:v>
                </c:pt>
                <c:pt idx="154">
                  <c:v>-0.1542495681054703</c:v>
                </c:pt>
                <c:pt idx="155">
                  <c:v>0.20910203981839387</c:v>
                </c:pt>
                <c:pt idx="156">
                  <c:v>0.50324381766152204</c:v>
                </c:pt>
                <c:pt idx="157">
                  <c:v>0.83199051054501805</c:v>
                </c:pt>
                <c:pt idx="158">
                  <c:v>0.74547822294409816</c:v>
                </c:pt>
                <c:pt idx="159">
                  <c:v>0.31291678493949793</c:v>
                </c:pt>
                <c:pt idx="160">
                  <c:v>-6.7737280504550232E-2</c:v>
                </c:pt>
                <c:pt idx="161">
                  <c:v>0.29561432741931393</c:v>
                </c:pt>
                <c:pt idx="162">
                  <c:v>0.27831186989912993</c:v>
                </c:pt>
                <c:pt idx="163">
                  <c:v>0.46863890262115399</c:v>
                </c:pt>
                <c:pt idx="164">
                  <c:v>0.33021924245968198</c:v>
                </c:pt>
                <c:pt idx="165">
                  <c:v>0.29561432741931393</c:v>
                </c:pt>
                <c:pt idx="166">
                  <c:v>-0.29266922826694231</c:v>
                </c:pt>
                <c:pt idx="167">
                  <c:v>-0.56950854858988642</c:v>
                </c:pt>
                <c:pt idx="168">
                  <c:v>-0.93286015651375054</c:v>
                </c:pt>
                <c:pt idx="169">
                  <c:v>-0.81174295387246254</c:v>
                </c:pt>
                <c:pt idx="170">
                  <c:v>-0.63871837867062242</c:v>
                </c:pt>
                <c:pt idx="171">
                  <c:v>-0.62141592115043842</c:v>
                </c:pt>
                <c:pt idx="172">
                  <c:v>-0.46569380346878236</c:v>
                </c:pt>
                <c:pt idx="173">
                  <c:v>-0.13694711058528627</c:v>
                </c:pt>
                <c:pt idx="174">
                  <c:v>-3.313236546418221E-2</c:v>
                </c:pt>
                <c:pt idx="175">
                  <c:v>-0.17155202562565428</c:v>
                </c:pt>
                <c:pt idx="176">
                  <c:v>1.4725495761858053E-3</c:v>
                </c:pt>
                <c:pt idx="177">
                  <c:v>-0.10234219554491823</c:v>
                </c:pt>
                <c:pt idx="178">
                  <c:v>-0.34457660082749431</c:v>
                </c:pt>
                <c:pt idx="179">
                  <c:v>-0.51760117602933442</c:v>
                </c:pt>
                <c:pt idx="180">
                  <c:v>-0.62141592115043842</c:v>
                </c:pt>
                <c:pt idx="181">
                  <c:v>-0.75983558131191054</c:v>
                </c:pt>
                <c:pt idx="182">
                  <c:v>-0.84634786891283054</c:v>
                </c:pt>
                <c:pt idx="183">
                  <c:v>-0.84634786891283054</c:v>
                </c:pt>
                <c:pt idx="184">
                  <c:v>-0.65602083619080642</c:v>
                </c:pt>
                <c:pt idx="185">
                  <c:v>-0.63871837867062242</c:v>
                </c:pt>
                <c:pt idx="186">
                  <c:v>-0.29266922826694236</c:v>
                </c:pt>
                <c:pt idx="187">
                  <c:v>-0.10234219554491822</c:v>
                </c:pt>
                <c:pt idx="188">
                  <c:v>0.19179958229820987</c:v>
                </c:pt>
                <c:pt idx="189">
                  <c:v>0.38212661502023393</c:v>
                </c:pt>
                <c:pt idx="190">
                  <c:v>0.52054627518170604</c:v>
                </c:pt>
                <c:pt idx="191">
                  <c:v>0.1744971247780259</c:v>
                </c:pt>
                <c:pt idx="192">
                  <c:v>-3.313236546418219E-2</c:v>
                </c:pt>
                <c:pt idx="193">
                  <c:v>3.6077464616553853E-2</c:v>
                </c:pt>
                <c:pt idx="194">
                  <c:v>-0.34457660082749425</c:v>
                </c:pt>
                <c:pt idx="195">
                  <c:v>-0.39648397338804631</c:v>
                </c:pt>
                <c:pt idx="196">
                  <c:v>-0.41378643090823031</c:v>
                </c:pt>
                <c:pt idx="197">
                  <c:v>-0.29266922826694231</c:v>
                </c:pt>
                <c:pt idx="198">
                  <c:v>-0.55220609106970242</c:v>
                </c:pt>
                <c:pt idx="199">
                  <c:v>-0.60411346363025442</c:v>
                </c:pt>
                <c:pt idx="200">
                  <c:v>-0.75983558131191054</c:v>
                </c:pt>
                <c:pt idx="201">
                  <c:v>-0.79444049635227842</c:v>
                </c:pt>
                <c:pt idx="202">
                  <c:v>-0.75983558131191054</c:v>
                </c:pt>
                <c:pt idx="203">
                  <c:v>-0.89825524147338265</c:v>
                </c:pt>
                <c:pt idx="204">
                  <c:v>-0.44839134594859847</c:v>
                </c:pt>
                <c:pt idx="205">
                  <c:v>-0.20615694066602233</c:v>
                </c:pt>
                <c:pt idx="206">
                  <c:v>0.2091020398183939</c:v>
                </c:pt>
                <c:pt idx="207">
                  <c:v>0.27831186989912993</c:v>
                </c:pt>
                <c:pt idx="208">
                  <c:v>0.72817576542391416</c:v>
                </c:pt>
                <c:pt idx="209">
                  <c:v>0.57245364774225815</c:v>
                </c:pt>
                <c:pt idx="210">
                  <c:v>0.55515119022207404</c:v>
                </c:pt>
                <c:pt idx="211">
                  <c:v>0.13989220973765787</c:v>
                </c:pt>
                <c:pt idx="212">
                  <c:v>-3.313236546418219E-2</c:v>
                </c:pt>
                <c:pt idx="213">
                  <c:v>-0.41378643090823031</c:v>
                </c:pt>
                <c:pt idx="214">
                  <c:v>-0.69062575123117431</c:v>
                </c:pt>
                <c:pt idx="215">
                  <c:v>-0.89825524147338265</c:v>
                </c:pt>
                <c:pt idx="216">
                  <c:v>-0.84634786891283054</c:v>
                </c:pt>
                <c:pt idx="217">
                  <c:v>-0.84634786891283054</c:v>
                </c:pt>
                <c:pt idx="218">
                  <c:v>-0.89825524147338243</c:v>
                </c:pt>
                <c:pt idx="219">
                  <c:v>-0.88095278395319865</c:v>
                </c:pt>
                <c:pt idx="220">
                  <c:v>-0.72523066627154253</c:v>
                </c:pt>
                <c:pt idx="221">
                  <c:v>-0.79444049635227854</c:v>
                </c:pt>
                <c:pt idx="222">
                  <c:v>-0.34457660082749431</c:v>
                </c:pt>
                <c:pt idx="223">
                  <c:v>-0.20615694066602233</c:v>
                </c:pt>
                <c:pt idx="224">
                  <c:v>-0.15424956810547025</c:v>
                </c:pt>
                <c:pt idx="225">
                  <c:v>-0.29266922826694231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D380-41E6-8DB3-972BD2F9265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x"/>
            <c:size val="7"/>
            <c:spPr>
              <a:ln w="38100">
                <a:solidFill>
                  <a:srgbClr val="FF0000"/>
                </a:solidFill>
              </a:ln>
            </c:spPr>
          </c:marker>
          <c:xVal>
            <c:numRef>
              <c:f>주가방향예측!$K$3</c:f>
              <c:numCache>
                <c:formatCode>0.0000</c:formatCode>
                <c:ptCount val="1"/>
                <c:pt idx="0">
                  <c:v>0.47219102787990003</c:v>
                </c:pt>
              </c:numCache>
            </c:numRef>
          </c:xVal>
          <c:yVal>
            <c:numRef>
              <c:f>주가방향예측!$L$3</c:f>
              <c:numCache>
                <c:formatCode>0.0000</c:formatCode>
                <c:ptCount val="1"/>
                <c:pt idx="0">
                  <c:v>-0.72523066627154242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D380-41E6-8DB3-972BD2F92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544768"/>
        <c:axId val="707545344"/>
      </c:scatterChart>
      <c:valAx>
        <c:axId val="70754476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one"/>
        <c:crossAx val="707545344"/>
        <c:crosses val="autoZero"/>
        <c:crossBetween val="midCat"/>
      </c:valAx>
      <c:valAx>
        <c:axId val="707545344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one"/>
        <c:crossAx val="7075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142874</xdr:colOff>
      <xdr:row>3</xdr:row>
      <xdr:rowOff>52387</xdr:rowOff>
    </xdr:from>
    <xdr:to>
      <xdr:col>18</xdr:col>
      <xdr:colOff>514349</xdr:colOff>
      <xdr:row>21</xdr:row>
      <xdr:rowOff>161925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47625</xdr:rowOff>
        </xdr:from>
        <xdr:to>
          <xdr:col>14</xdr:col>
          <xdr:colOff>647700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분류 차트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76199</xdr:colOff>
      <xdr:row>10</xdr:row>
      <xdr:rowOff>71437</xdr:rowOff>
    </xdr:from>
    <xdr:to>
      <xdr:col>17</xdr:col>
      <xdr:colOff>390525</xdr:colOff>
      <xdr:row>21</xdr:row>
      <xdr:rowOff>76200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2"/>
  <sheetViews>
    <sheetView workbookViewId="0">
      <selection activeCell="G5" sqref="G5"/>
    </sheetView>
  </sheetViews>
  <sheetFormatPr defaultRowHeight="13.5" x14ac:dyDescent="0.3"/>
  <cols>
    <col min="1" max="2" width="9" style="17" customWidth="1"/>
    <col min="3" max="3" width="5.25" style="17" bestFit="1" customWidth="1"/>
    <col min="4" max="4" width="4" style="17" customWidth="1"/>
    <col min="5" max="5" width="7" style="17" customWidth="1"/>
    <col min="6" max="6" width="8.875" style="17" bestFit="1" customWidth="1"/>
    <col min="7" max="7" width="4.5" style="17" customWidth="1"/>
    <col min="8" max="8" width="4.75" style="17" customWidth="1"/>
    <col min="9" max="9" width="5.25" style="17" bestFit="1" customWidth="1"/>
    <col min="10" max="10" width="8.5" style="17" customWidth="1"/>
    <col min="11" max="13" width="5.25" style="17" bestFit="1" customWidth="1"/>
    <col min="14" max="16384" width="9" style="17"/>
  </cols>
  <sheetData>
    <row r="1" spans="1:13" x14ac:dyDescent="0.3">
      <c r="A1" s="22" t="s">
        <v>3</v>
      </c>
      <c r="B1" s="22"/>
      <c r="C1" s="22"/>
      <c r="E1" s="22" t="s">
        <v>4</v>
      </c>
      <c r="F1" s="22"/>
      <c r="G1" s="22"/>
    </row>
    <row r="2" spans="1:13" x14ac:dyDescent="0.3">
      <c r="A2" s="18" t="s">
        <v>0</v>
      </c>
      <c r="B2" s="18" t="s">
        <v>1</v>
      </c>
      <c r="C2" s="18" t="s">
        <v>2</v>
      </c>
      <c r="E2" s="18" t="s">
        <v>0</v>
      </c>
      <c r="F2" s="18" t="s">
        <v>1</v>
      </c>
      <c r="G2" s="18" t="s">
        <v>2</v>
      </c>
      <c r="I2" s="18" t="s">
        <v>6</v>
      </c>
      <c r="J2" s="18" t="s">
        <v>7</v>
      </c>
      <c r="K2" s="18" t="s">
        <v>2</v>
      </c>
      <c r="L2" s="18" t="s">
        <v>8</v>
      </c>
      <c r="M2" s="19" t="s">
        <v>2</v>
      </c>
    </row>
    <row r="3" spans="1:13" x14ac:dyDescent="0.3">
      <c r="A3" s="2">
        <v>-0.496</v>
      </c>
      <c r="B3" s="2">
        <v>0.67500000000000004</v>
      </c>
      <c r="C3" s="4">
        <v>3</v>
      </c>
      <c r="E3" s="18">
        <v>0.3</v>
      </c>
      <c r="F3" s="18">
        <v>0.1</v>
      </c>
      <c r="G3" s="18" t="s">
        <v>5</v>
      </c>
      <c r="I3" s="18">
        <f>RANK(J3, $J$3:$J$22, 1)</f>
        <v>12</v>
      </c>
      <c r="J3" s="20">
        <f>SQRT(($E$3-A3)^2+($F$3-B3)^2)</f>
        <v>0.98195773839814515</v>
      </c>
      <c r="K3" s="4">
        <v>3</v>
      </c>
      <c r="L3" s="18">
        <v>1</v>
      </c>
      <c r="M3" s="18">
        <f>VLOOKUP(L3, $I$3:$K$22, 3, 0)</f>
        <v>2</v>
      </c>
    </row>
    <row r="4" spans="1:13" x14ac:dyDescent="0.3">
      <c r="A4" s="2">
        <v>0.98699999999999999</v>
      </c>
      <c r="B4" s="2">
        <v>-0.53600000000000003</v>
      </c>
      <c r="C4" s="4">
        <v>2</v>
      </c>
      <c r="I4" s="18">
        <f t="shared" ref="I4:I22" si="0">RANK(J4, $J$3:$J$22, 1)</f>
        <v>10</v>
      </c>
      <c r="J4" s="20">
        <f t="shared" ref="J4:J22" si="1">SQRT(($E$3-A4)^2+($F$3-B4)^2)</f>
        <v>0.93619709463338974</v>
      </c>
      <c r="K4" s="4">
        <v>2</v>
      </c>
      <c r="L4" s="18">
        <v>2</v>
      </c>
      <c r="M4" s="18">
        <f t="shared" ref="M4:M7" si="2">VLOOKUP(L4, $I$3:$K$22, 3, 0)</f>
        <v>2</v>
      </c>
    </row>
    <row r="5" spans="1:13" x14ac:dyDescent="0.3">
      <c r="A5" s="2">
        <v>0.63400000000000001</v>
      </c>
      <c r="B5" s="2">
        <v>0.56699999999999995</v>
      </c>
      <c r="C5" s="4">
        <v>1</v>
      </c>
      <c r="F5" s="21" t="s">
        <v>9</v>
      </c>
      <c r="G5" s="21">
        <v>2</v>
      </c>
      <c r="I5" s="18">
        <f t="shared" si="0"/>
        <v>4</v>
      </c>
      <c r="J5" s="20">
        <f t="shared" si="1"/>
        <v>0.57414719367075195</v>
      </c>
      <c r="K5" s="4">
        <v>1</v>
      </c>
      <c r="L5" s="18">
        <v>3</v>
      </c>
      <c r="M5" s="18">
        <f t="shared" si="2"/>
        <v>2</v>
      </c>
    </row>
    <row r="6" spans="1:13" x14ac:dyDescent="0.3">
      <c r="A6" s="2">
        <v>-0.48199999999999998</v>
      </c>
      <c r="B6" s="2">
        <v>0.38700000000000001</v>
      </c>
      <c r="C6" s="4">
        <v>3</v>
      </c>
      <c r="I6" s="18">
        <f t="shared" si="0"/>
        <v>9</v>
      </c>
      <c r="J6" s="20">
        <f t="shared" si="1"/>
        <v>0.83300240095692402</v>
      </c>
      <c r="K6" s="4">
        <v>3</v>
      </c>
      <c r="L6" s="18">
        <v>4</v>
      </c>
      <c r="M6" s="18">
        <f t="shared" si="2"/>
        <v>1</v>
      </c>
    </row>
    <row r="7" spans="1:13" x14ac:dyDescent="0.3">
      <c r="A7" s="2">
        <v>-0.999</v>
      </c>
      <c r="B7" s="2">
        <v>-0.64700000000000002</v>
      </c>
      <c r="C7" s="4">
        <v>4</v>
      </c>
      <c r="I7" s="18">
        <f t="shared" si="0"/>
        <v>19</v>
      </c>
      <c r="J7" s="20">
        <f t="shared" si="1"/>
        <v>1.4984692189030777</v>
      </c>
      <c r="K7" s="4">
        <v>4</v>
      </c>
      <c r="L7" s="18">
        <v>5</v>
      </c>
      <c r="M7" s="18">
        <f t="shared" si="2"/>
        <v>1</v>
      </c>
    </row>
    <row r="8" spans="1:13" x14ac:dyDescent="0.3">
      <c r="A8" s="2">
        <v>-0.65400000000000003</v>
      </c>
      <c r="B8" s="2">
        <v>0.23400000000000001</v>
      </c>
      <c r="C8" s="4">
        <v>3</v>
      </c>
      <c r="I8" s="18">
        <f t="shared" si="0"/>
        <v>11</v>
      </c>
      <c r="J8" s="20">
        <f t="shared" si="1"/>
        <v>0.9633649360444877</v>
      </c>
      <c r="K8" s="4">
        <v>3</v>
      </c>
    </row>
    <row r="9" spans="1:13" x14ac:dyDescent="0.3">
      <c r="A9" s="2">
        <v>0.56399999999999995</v>
      </c>
      <c r="B9" s="2">
        <v>-0.124</v>
      </c>
      <c r="C9" s="4">
        <v>2</v>
      </c>
      <c r="I9" s="18">
        <f t="shared" si="0"/>
        <v>1</v>
      </c>
      <c r="J9" s="20">
        <f t="shared" si="1"/>
        <v>0.34622536013411842</v>
      </c>
      <c r="K9" s="4">
        <v>2</v>
      </c>
    </row>
    <row r="10" spans="1:13" x14ac:dyDescent="0.3">
      <c r="A10" s="2">
        <v>-0.92100000000000004</v>
      </c>
      <c r="B10" s="2">
        <v>0.17699999999999999</v>
      </c>
      <c r="C10" s="4">
        <v>3</v>
      </c>
      <c r="I10" s="18">
        <f t="shared" si="0"/>
        <v>17</v>
      </c>
      <c r="J10" s="20">
        <f t="shared" si="1"/>
        <v>1.223425518779137</v>
      </c>
      <c r="K10" s="4">
        <v>3</v>
      </c>
    </row>
    <row r="11" spans="1:13" x14ac:dyDescent="0.3">
      <c r="A11" s="2">
        <v>0.72099999999999997</v>
      </c>
      <c r="B11" s="2">
        <v>0.74299999999999999</v>
      </c>
      <c r="C11" s="4">
        <v>1</v>
      </c>
      <c r="I11" s="18">
        <f t="shared" si="0"/>
        <v>8</v>
      </c>
      <c r="J11" s="20">
        <f t="shared" si="1"/>
        <v>0.76856359528668805</v>
      </c>
      <c r="K11" s="4">
        <v>1</v>
      </c>
    </row>
    <row r="12" spans="1:13" x14ac:dyDescent="0.3">
      <c r="A12" s="2">
        <v>0.89300000000000002</v>
      </c>
      <c r="B12" s="2">
        <v>-0.25</v>
      </c>
      <c r="C12" s="4">
        <v>2</v>
      </c>
      <c r="I12" s="18">
        <f t="shared" si="0"/>
        <v>6</v>
      </c>
      <c r="J12" s="20">
        <f t="shared" si="1"/>
        <v>0.68858478054630279</v>
      </c>
      <c r="K12" s="4">
        <v>2</v>
      </c>
    </row>
    <row r="13" spans="1:13" x14ac:dyDescent="0.3">
      <c r="A13" s="2">
        <v>0.872</v>
      </c>
      <c r="B13" s="2">
        <v>0.45600000000000002</v>
      </c>
      <c r="C13" s="4">
        <v>1</v>
      </c>
      <c r="I13" s="18">
        <f t="shared" si="0"/>
        <v>5</v>
      </c>
      <c r="J13" s="20">
        <f t="shared" si="1"/>
        <v>0.67373585328376295</v>
      </c>
      <c r="K13" s="4">
        <v>1</v>
      </c>
    </row>
    <row r="14" spans="1:13" x14ac:dyDescent="0.3">
      <c r="A14" s="2">
        <v>-0.495</v>
      </c>
      <c r="B14" s="2">
        <v>-0.82599999999999996</v>
      </c>
      <c r="C14" s="4">
        <v>4</v>
      </c>
      <c r="I14" s="18">
        <f t="shared" si="0"/>
        <v>16</v>
      </c>
      <c r="J14" s="20">
        <f t="shared" si="1"/>
        <v>1.2204511460931158</v>
      </c>
      <c r="K14" s="4">
        <v>4</v>
      </c>
    </row>
    <row r="15" spans="1:13" x14ac:dyDescent="0.3">
      <c r="A15" s="2">
        <v>-0.66500000000000004</v>
      </c>
      <c r="B15" s="2">
        <v>-0.64400000000000002</v>
      </c>
      <c r="C15" s="4">
        <v>4</v>
      </c>
      <c r="I15" s="18">
        <f t="shared" si="0"/>
        <v>15</v>
      </c>
      <c r="J15" s="20">
        <f t="shared" si="1"/>
        <v>1.218507693861635</v>
      </c>
      <c r="K15" s="4">
        <v>4</v>
      </c>
    </row>
    <row r="16" spans="1:13" x14ac:dyDescent="0.3">
      <c r="A16" s="2">
        <v>0.51100000000000001</v>
      </c>
      <c r="B16" s="2">
        <v>-0.28799999999999998</v>
      </c>
      <c r="C16" s="4">
        <v>2</v>
      </c>
      <c r="I16" s="18">
        <f t="shared" si="0"/>
        <v>2</v>
      </c>
      <c r="J16" s="20">
        <f t="shared" si="1"/>
        <v>0.44166163519146645</v>
      </c>
      <c r="K16" s="4">
        <v>2</v>
      </c>
    </row>
    <row r="17" spans="1:11" x14ac:dyDescent="0.3">
      <c r="A17" s="2">
        <v>-0.626</v>
      </c>
      <c r="B17" s="2">
        <v>0.45300000000000001</v>
      </c>
      <c r="C17" s="4">
        <v>3</v>
      </c>
      <c r="I17" s="18">
        <f t="shared" si="0"/>
        <v>13</v>
      </c>
      <c r="J17" s="20">
        <f t="shared" si="1"/>
        <v>0.9910020181614162</v>
      </c>
      <c r="K17" s="4">
        <v>3</v>
      </c>
    </row>
    <row r="18" spans="1:11" x14ac:dyDescent="0.3">
      <c r="A18" s="2">
        <v>-0.68400000000000005</v>
      </c>
      <c r="B18" s="2">
        <v>-0.94699999999999995</v>
      </c>
      <c r="C18" s="4">
        <v>4</v>
      </c>
      <c r="I18" s="18">
        <f t="shared" si="0"/>
        <v>18</v>
      </c>
      <c r="J18" s="20">
        <f t="shared" si="1"/>
        <v>1.4368246239538074</v>
      </c>
      <c r="K18" s="4">
        <v>4</v>
      </c>
    </row>
    <row r="19" spans="1:11" x14ac:dyDescent="0.3">
      <c r="A19" s="2">
        <v>0.32500000000000001</v>
      </c>
      <c r="B19" s="2">
        <v>-0.34499999999999997</v>
      </c>
      <c r="C19" s="4">
        <v>2</v>
      </c>
      <c r="I19" s="18">
        <f t="shared" si="0"/>
        <v>3</v>
      </c>
      <c r="J19" s="20">
        <f t="shared" si="1"/>
        <v>0.44570169396133102</v>
      </c>
      <c r="K19" s="4">
        <v>2</v>
      </c>
    </row>
    <row r="20" spans="1:11" x14ac:dyDescent="0.3">
      <c r="A20" s="2">
        <v>-0.432</v>
      </c>
      <c r="B20" s="2">
        <v>0.314</v>
      </c>
      <c r="C20" s="4">
        <v>3</v>
      </c>
      <c r="I20" s="18">
        <f t="shared" si="0"/>
        <v>7</v>
      </c>
      <c r="J20" s="20">
        <f t="shared" si="1"/>
        <v>0.76264015105421767</v>
      </c>
      <c r="K20" s="4">
        <v>3</v>
      </c>
    </row>
    <row r="21" spans="1:11" x14ac:dyDescent="0.3">
      <c r="A21" s="2">
        <v>-0.88200000000000001</v>
      </c>
      <c r="B21" s="2">
        <v>-0.90200000000000002</v>
      </c>
      <c r="C21" s="4">
        <v>4</v>
      </c>
      <c r="I21" s="18">
        <f t="shared" si="0"/>
        <v>20</v>
      </c>
      <c r="J21" s="20">
        <f t="shared" si="1"/>
        <v>1.5495573561504588</v>
      </c>
      <c r="K21" s="4">
        <v>4</v>
      </c>
    </row>
    <row r="22" spans="1:11" x14ac:dyDescent="0.3">
      <c r="A22" s="2">
        <v>-0.57499999999999996</v>
      </c>
      <c r="B22" s="2">
        <v>-0.50900000000000001</v>
      </c>
      <c r="C22" s="4">
        <v>4</v>
      </c>
      <c r="I22" s="18">
        <f t="shared" si="0"/>
        <v>14</v>
      </c>
      <c r="J22" s="20">
        <f t="shared" si="1"/>
        <v>1.0660703541511696</v>
      </c>
      <c r="K22" s="4">
        <v>4</v>
      </c>
    </row>
  </sheetData>
  <mergeCells count="2">
    <mergeCell ref="A1:C1"/>
    <mergeCell ref="E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lorScatterPoints">
                <anchor moveWithCells="1" sizeWithCells="1">
                  <from>
                    <xdr:col>13</xdr:col>
                    <xdr:colOff>161925</xdr:colOff>
                    <xdr:row>1</xdr:row>
                    <xdr:rowOff>47625</xdr:rowOff>
                  </from>
                  <to>
                    <xdr:col>14</xdr:col>
                    <xdr:colOff>647700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32"/>
  <sheetViews>
    <sheetView tabSelected="1" workbookViewId="0">
      <selection activeCell="S22" sqref="S22"/>
    </sheetView>
  </sheetViews>
  <sheetFormatPr defaultRowHeight="13.5" x14ac:dyDescent="0.3"/>
  <cols>
    <col min="1" max="1" width="9.75" style="1" bestFit="1" customWidth="1"/>
    <col min="2" max="3" width="8" style="1" bestFit="1" customWidth="1"/>
    <col min="4" max="7" width="6.875" style="1" bestFit="1" customWidth="1"/>
    <col min="8" max="8" width="6.5" style="1" bestFit="1" customWidth="1"/>
    <col min="9" max="9" width="5.25" style="7" bestFit="1" customWidth="1"/>
    <col min="10" max="10" width="9.75" style="1" bestFit="1" customWidth="1"/>
    <col min="11" max="12" width="8" style="1" bestFit="1" customWidth="1"/>
    <col min="13" max="13" width="6.875" style="1" bestFit="1" customWidth="1"/>
    <col min="14" max="14" width="6.375" style="1" bestFit="1" customWidth="1"/>
    <col min="15" max="16" width="6.875" style="1" bestFit="1" customWidth="1"/>
    <col min="17" max="17" width="6.375" style="1" bestFit="1" customWidth="1"/>
    <col min="18" max="18" width="5.25" style="1" bestFit="1" customWidth="1"/>
    <col min="19" max="16384" width="9" style="1"/>
  </cols>
  <sheetData>
    <row r="1" spans="1:18" x14ac:dyDescent="0.3">
      <c r="J1" s="23" t="s">
        <v>20</v>
      </c>
      <c r="K1" s="23"/>
      <c r="L1" s="23"/>
      <c r="M1" s="23"/>
      <c r="N1" s="23"/>
      <c r="O1" s="23"/>
      <c r="P1" s="23"/>
      <c r="Q1" s="23"/>
      <c r="R1" s="23"/>
    </row>
    <row r="2" spans="1:18" x14ac:dyDescent="0.3">
      <c r="J2" s="13" t="s">
        <v>10</v>
      </c>
      <c r="K2" s="13" t="s">
        <v>18</v>
      </c>
      <c r="L2" s="13" t="s">
        <v>11</v>
      </c>
      <c r="M2" s="13" t="s">
        <v>12</v>
      </c>
      <c r="N2" s="13" t="s">
        <v>13</v>
      </c>
      <c r="O2" s="13" t="s">
        <v>14</v>
      </c>
      <c r="P2" s="13" t="s">
        <v>15</v>
      </c>
      <c r="Q2" s="13" t="s">
        <v>16</v>
      </c>
      <c r="R2" s="13" t="s">
        <v>17</v>
      </c>
    </row>
    <row r="3" spans="1:18" x14ac:dyDescent="0.3">
      <c r="J3" s="11">
        <v>42502</v>
      </c>
      <c r="K3" s="12">
        <v>0.47219102787990003</v>
      </c>
      <c r="L3" s="12">
        <v>-0.72523066627154242</v>
      </c>
      <c r="M3" s="12">
        <v>-0.13403278154585657</v>
      </c>
      <c r="N3" s="12">
        <v>0.6679330952501914</v>
      </c>
      <c r="O3" s="12">
        <v>-0.59819439743352887</v>
      </c>
      <c r="P3" s="12">
        <v>-0.42741912364811635</v>
      </c>
      <c r="Q3" s="13" t="s">
        <v>21</v>
      </c>
      <c r="R3" s="13" t="s">
        <v>21</v>
      </c>
    </row>
    <row r="4" spans="1:18" x14ac:dyDescent="0.3">
      <c r="A4" s="23" t="s">
        <v>19</v>
      </c>
      <c r="B4" s="23"/>
      <c r="C4" s="23"/>
      <c r="D4" s="23"/>
      <c r="E4" s="23"/>
      <c r="F4" s="23"/>
      <c r="G4" s="23"/>
      <c r="H4" s="23"/>
      <c r="I4" s="23"/>
    </row>
    <row r="5" spans="1:18" x14ac:dyDescent="0.3">
      <c r="A5" s="10" t="s">
        <v>10</v>
      </c>
      <c r="B5" s="10" t="s">
        <v>18</v>
      </c>
      <c r="C5" s="10" t="s">
        <v>11</v>
      </c>
      <c r="D5" s="10" t="s">
        <v>12</v>
      </c>
      <c r="E5" s="10" t="s">
        <v>13</v>
      </c>
      <c r="F5" s="10" t="s">
        <v>14</v>
      </c>
      <c r="G5" s="10" t="s">
        <v>15</v>
      </c>
      <c r="H5" s="10" t="s">
        <v>16</v>
      </c>
      <c r="I5" s="10" t="s">
        <v>17</v>
      </c>
      <c r="J5" s="14" t="s">
        <v>22</v>
      </c>
      <c r="K5" s="14" t="s">
        <v>23</v>
      </c>
      <c r="L5" s="14" t="s">
        <v>17</v>
      </c>
      <c r="M5" s="16" t="s">
        <v>24</v>
      </c>
      <c r="N5" s="16" t="s">
        <v>17</v>
      </c>
      <c r="O5" s="6" t="s">
        <v>25</v>
      </c>
    </row>
    <row r="6" spans="1:18" x14ac:dyDescent="0.3">
      <c r="A6" s="8">
        <v>42160</v>
      </c>
      <c r="B6" s="5">
        <v>-0.4578320342176519</v>
      </c>
      <c r="C6" s="5">
        <v>0.41673153006060204</v>
      </c>
      <c r="D6" s="5">
        <v>8.4166911455305443E-2</v>
      </c>
      <c r="E6" s="5">
        <v>0.9174097905412042</v>
      </c>
      <c r="F6" s="5">
        <v>-0.48010959976671785</v>
      </c>
      <c r="G6" s="5">
        <v>-0.20371979498372764</v>
      </c>
      <c r="H6" s="9">
        <v>-9.7804054498276116E-3</v>
      </c>
      <c r="I6" s="3">
        <f>IF(H6&lt;-0.2%,1,IF(ABS(H6)&lt;0.2%,2,3))</f>
        <v>1</v>
      </c>
      <c r="J6" s="14">
        <f>RANK(K6, $K$6:$K$231, 1)</f>
        <v>75</v>
      </c>
      <c r="K6" s="15">
        <f>SQRT(($K$3-B6)^2 + ($L$3-C6)^2 + ($M$3 - D6)^2 + ($N$3 - E6)^2 + ($O$3 - F6)^2 + ($P$3 - G6)^2)</f>
        <v>1.530638981108569</v>
      </c>
      <c r="L6" s="14">
        <f>I6</f>
        <v>1</v>
      </c>
      <c r="M6" s="16">
        <v>1</v>
      </c>
      <c r="N6" s="16">
        <f>VLOOKUP(M6, $J$6:$L$231, 3, 0)</f>
        <v>2</v>
      </c>
      <c r="O6" s="6">
        <v>3</v>
      </c>
    </row>
    <row r="7" spans="1:18" x14ac:dyDescent="0.3">
      <c r="A7" s="8">
        <v>42163</v>
      </c>
      <c r="B7" s="5">
        <v>-0.21033618504491525</v>
      </c>
      <c r="C7" s="5">
        <v>0.78008313798446616</v>
      </c>
      <c r="D7" s="5">
        <v>5.130908614261287E-2</v>
      </c>
      <c r="E7" s="5">
        <v>0.76579097324479861</v>
      </c>
      <c r="F7" s="5">
        <v>-0.18755727305618089</v>
      </c>
      <c r="G7" s="5">
        <v>-0.30567012448276165</v>
      </c>
      <c r="H7" s="9">
        <v>-6.8118039183836746E-3</v>
      </c>
      <c r="I7" s="3">
        <f t="shared" ref="I7:I70" si="0">IF(H7&lt;-0.2%,1,IF(ABS(H7)&lt;0.2%,2,3))</f>
        <v>1</v>
      </c>
      <c r="J7" s="14">
        <f t="shared" ref="J7:J70" si="1">RANK(K7, $K$6:$K$231, 1)</f>
        <v>92</v>
      </c>
      <c r="K7" s="15">
        <f t="shared" ref="K7:K70" si="2">SQRT(($K$3-B7)^2 + ($L$3-C7)^2 + ($M$3 - D7)^2 + ($N$3 - E7)^2 + ($O$3 - F7)^2 + ($P$3 - G7)^2)</f>
        <v>1.72022861404673</v>
      </c>
      <c r="L7" s="14">
        <f t="shared" ref="L7:L70" si="3">I7</f>
        <v>1</v>
      </c>
      <c r="M7" s="16">
        <v>2</v>
      </c>
      <c r="N7" s="16">
        <f t="shared" ref="N7:N10" si="4">VLOOKUP(M7, $J$6:$L$231, 3, 0)</f>
        <v>3</v>
      </c>
    </row>
    <row r="8" spans="1:18" x14ac:dyDescent="0.3">
      <c r="A8" s="8">
        <v>42164</v>
      </c>
      <c r="B8" s="5">
        <v>-0.20331955014568814</v>
      </c>
      <c r="C8" s="5">
        <v>1.2472494910294345</v>
      </c>
      <c r="D8" s="5">
        <v>0.25499077612890153</v>
      </c>
      <c r="E8" s="5">
        <v>0.39312217040571779</v>
      </c>
      <c r="F8" s="5">
        <v>-0.11650338334262686</v>
      </c>
      <c r="G8" s="5">
        <v>0.11949135077187201</v>
      </c>
      <c r="H8" s="9">
        <v>-4.2571571829462581E-3</v>
      </c>
      <c r="I8" s="3">
        <f t="shared" si="0"/>
        <v>1</v>
      </c>
      <c r="J8" s="14">
        <f t="shared" si="1"/>
        <v>161</v>
      </c>
      <c r="K8" s="15">
        <f t="shared" si="2"/>
        <v>2.259422533501994</v>
      </c>
      <c r="L8" s="14">
        <f t="shared" si="3"/>
        <v>1</v>
      </c>
      <c r="M8" s="16">
        <v>3</v>
      </c>
      <c r="N8" s="16">
        <f t="shared" si="4"/>
        <v>3</v>
      </c>
    </row>
    <row r="9" spans="1:18" x14ac:dyDescent="0.3">
      <c r="A9" s="8">
        <v>42165</v>
      </c>
      <c r="B9" s="5">
        <v>-0.14080771195257422</v>
      </c>
      <c r="C9" s="5">
        <v>0.91850279814593816</v>
      </c>
      <c r="D9" s="5">
        <v>0.28495563973598087</v>
      </c>
      <c r="E9" s="5">
        <v>0.17760456542672715</v>
      </c>
      <c r="F9" s="5">
        <v>0.14650694363220446</v>
      </c>
      <c r="G9" s="5">
        <v>0.14173423030491264</v>
      </c>
      <c r="H9" s="9">
        <v>-1.2718643816587161E-3</v>
      </c>
      <c r="I9" s="3">
        <f t="shared" si="0"/>
        <v>2</v>
      </c>
      <c r="J9" s="14">
        <f t="shared" si="1"/>
        <v>139</v>
      </c>
      <c r="K9" s="15">
        <f t="shared" si="2"/>
        <v>2.090960580477371</v>
      </c>
      <c r="L9" s="14">
        <f t="shared" si="3"/>
        <v>2</v>
      </c>
      <c r="M9" s="16">
        <v>4</v>
      </c>
      <c r="N9" s="16">
        <f t="shared" si="4"/>
        <v>2</v>
      </c>
    </row>
    <row r="10" spans="1:18" x14ac:dyDescent="0.3">
      <c r="A10" s="8">
        <v>42166</v>
      </c>
      <c r="B10" s="5">
        <v>-0.50375909901259264</v>
      </c>
      <c r="C10" s="5">
        <v>0.65896593534317816</v>
      </c>
      <c r="D10" s="5">
        <v>0.11727434166763366</v>
      </c>
      <c r="E10" s="5">
        <v>-0.44639060163713012</v>
      </c>
      <c r="F10" s="5">
        <v>0.2083088514533144</v>
      </c>
      <c r="G10" s="5">
        <v>0.91494207464622279</v>
      </c>
      <c r="H10" s="9">
        <v>1.2688385142745062E-3</v>
      </c>
      <c r="I10" s="3">
        <f t="shared" si="0"/>
        <v>2</v>
      </c>
      <c r="J10" s="14">
        <f t="shared" si="1"/>
        <v>192</v>
      </c>
      <c r="K10" s="15">
        <f t="shared" si="2"/>
        <v>2.5740498306903326</v>
      </c>
      <c r="L10" s="14">
        <f t="shared" si="3"/>
        <v>2</v>
      </c>
      <c r="M10" s="16">
        <v>5</v>
      </c>
      <c r="N10" s="16">
        <f t="shared" si="4"/>
        <v>3</v>
      </c>
    </row>
    <row r="11" spans="1:18" x14ac:dyDescent="0.3">
      <c r="A11" s="8">
        <v>42167</v>
      </c>
      <c r="B11" s="5">
        <v>-0.75253069998518884</v>
      </c>
      <c r="C11" s="5">
        <v>0.4513364451009701</v>
      </c>
      <c r="D11" s="5">
        <v>0.19556639653941488</v>
      </c>
      <c r="E11" s="5">
        <v>-0.32625772180872536</v>
      </c>
      <c r="F11" s="5">
        <v>6.364401947679596E-2</v>
      </c>
      <c r="G11" s="5">
        <v>0.91295366149124568</v>
      </c>
      <c r="H11" s="9">
        <v>-1.7302506656836415E-3</v>
      </c>
      <c r="I11" s="3">
        <f t="shared" si="0"/>
        <v>2</v>
      </c>
      <c r="J11" s="14">
        <f t="shared" si="1"/>
        <v>190</v>
      </c>
      <c r="K11" s="15">
        <f t="shared" si="2"/>
        <v>2.4931774446331905</v>
      </c>
      <c r="L11" s="14">
        <f t="shared" si="3"/>
        <v>2</v>
      </c>
    </row>
    <row r="12" spans="1:18" x14ac:dyDescent="0.3">
      <c r="A12" s="8">
        <v>42170</v>
      </c>
      <c r="B12" s="5">
        <v>-0.88329525947078424</v>
      </c>
      <c r="C12" s="5">
        <v>0.19179958229820987</v>
      </c>
      <c r="D12" s="5">
        <v>0.11163572606602842</v>
      </c>
      <c r="E12" s="5">
        <v>-7.1061600780950959E-2</v>
      </c>
      <c r="F12" s="5">
        <v>-0.14834173829624123</v>
      </c>
      <c r="G12" s="5">
        <v>0.78431073706078336</v>
      </c>
      <c r="H12" s="9">
        <v>1.7248244888193654E-3</v>
      </c>
      <c r="I12" s="3">
        <f t="shared" si="0"/>
        <v>2</v>
      </c>
      <c r="J12" s="14">
        <f t="shared" si="1"/>
        <v>157</v>
      </c>
      <c r="K12" s="15">
        <f t="shared" si="2"/>
        <v>2.2260751107383041</v>
      </c>
      <c r="L12" s="14">
        <f t="shared" si="3"/>
        <v>2</v>
      </c>
    </row>
    <row r="13" spans="1:18" x14ac:dyDescent="0.3">
      <c r="A13" s="8">
        <v>42171</v>
      </c>
      <c r="B13" s="5">
        <v>-0.92603294476607645</v>
      </c>
      <c r="C13" s="5">
        <v>-3.3132365464182204E-2</v>
      </c>
      <c r="D13" s="5">
        <v>7.2040614404973641E-2</v>
      </c>
      <c r="E13" s="5">
        <v>3.9685767918378342E-2</v>
      </c>
      <c r="F13" s="5">
        <v>-1.7754562220815662E-2</v>
      </c>
      <c r="G13" s="5">
        <v>0.50606963437749153</v>
      </c>
      <c r="H13" s="9">
        <v>1.0250690591288247E-2</v>
      </c>
      <c r="I13" s="3">
        <f t="shared" si="0"/>
        <v>3</v>
      </c>
      <c r="J13" s="14">
        <f t="shared" si="1"/>
        <v>124</v>
      </c>
      <c r="K13" s="15">
        <f t="shared" si="2"/>
        <v>2.0197779452560027</v>
      </c>
      <c r="L13" s="14">
        <f t="shared" si="3"/>
        <v>3</v>
      </c>
    </row>
    <row r="14" spans="1:18" x14ac:dyDescent="0.3">
      <c r="A14" s="8">
        <v>42172</v>
      </c>
      <c r="B14" s="5">
        <v>-0.86862411377240034</v>
      </c>
      <c r="C14" s="5">
        <v>-0.13694711058528625</v>
      </c>
      <c r="D14" s="5">
        <v>-5.2737284111246417E-2</v>
      </c>
      <c r="E14" s="5">
        <v>0.35150254111633245</v>
      </c>
      <c r="F14" s="5">
        <v>-0.20397011143732108</v>
      </c>
      <c r="G14" s="5">
        <v>0.28525891737377174</v>
      </c>
      <c r="H14" s="9">
        <v>7.5126203151299363E-3</v>
      </c>
      <c r="I14" s="3">
        <f t="shared" si="0"/>
        <v>3</v>
      </c>
      <c r="J14" s="14">
        <f t="shared" si="1"/>
        <v>90</v>
      </c>
      <c r="K14" s="15">
        <f t="shared" si="2"/>
        <v>1.7070216217996654</v>
      </c>
      <c r="L14" s="14">
        <f t="shared" si="3"/>
        <v>3</v>
      </c>
    </row>
    <row r="15" spans="1:18" x14ac:dyDescent="0.3">
      <c r="A15" s="8">
        <v>42173</v>
      </c>
      <c r="B15" s="5">
        <v>-0.69639762079137224</v>
      </c>
      <c r="C15" s="5">
        <v>-1.5829907943998189E-2</v>
      </c>
      <c r="D15" s="5">
        <v>-0.34188819280474131</v>
      </c>
      <c r="E15" s="5">
        <v>0.41215089934677512</v>
      </c>
      <c r="F15" s="5">
        <v>7.1498219932252E-2</v>
      </c>
      <c r="G15" s="5">
        <v>-7.3555649027824452E-2</v>
      </c>
      <c r="H15" s="9">
        <v>6.3141331055369674E-4</v>
      </c>
      <c r="I15" s="3">
        <f t="shared" si="0"/>
        <v>2</v>
      </c>
      <c r="J15" s="14">
        <f t="shared" si="1"/>
        <v>80</v>
      </c>
      <c r="K15" s="15">
        <f t="shared" si="2"/>
        <v>1.5972428838077177</v>
      </c>
      <c r="L15" s="14">
        <f t="shared" si="3"/>
        <v>2</v>
      </c>
    </row>
    <row r="16" spans="1:18" x14ac:dyDescent="0.3">
      <c r="A16" s="8">
        <v>42174</v>
      </c>
      <c r="B16" s="5">
        <v>-0.61666313330015554</v>
      </c>
      <c r="C16" s="5">
        <v>-0.10234219554491822</v>
      </c>
      <c r="D16" s="5">
        <v>-0.53202779401489586</v>
      </c>
      <c r="E16" s="5">
        <v>0.12175287674586519</v>
      </c>
      <c r="F16" s="5">
        <v>0.36321298713094297</v>
      </c>
      <c r="G16" s="5">
        <v>2.1386806028166533E-2</v>
      </c>
      <c r="H16" s="9">
        <v>1.8868064466715851E-3</v>
      </c>
      <c r="I16" s="3">
        <f t="shared" si="0"/>
        <v>2</v>
      </c>
      <c r="J16" s="14">
        <f t="shared" si="1"/>
        <v>98</v>
      </c>
      <c r="K16" s="15">
        <f t="shared" si="2"/>
        <v>1.7765239131310984</v>
      </c>
      <c r="L16" s="14">
        <f t="shared" si="3"/>
        <v>2</v>
      </c>
    </row>
    <row r="17" spans="1:12" x14ac:dyDescent="0.3">
      <c r="A17" s="8">
        <v>42177</v>
      </c>
      <c r="B17" s="5">
        <v>-0.3889414370252407</v>
      </c>
      <c r="C17" s="5">
        <v>-8.5039738024734204E-2</v>
      </c>
      <c r="D17" s="5">
        <v>-0.60146296683321221</v>
      </c>
      <c r="E17" s="5">
        <v>0.11858142192235566</v>
      </c>
      <c r="F17" s="5">
        <v>0.40321061388538776</v>
      </c>
      <c r="G17" s="5">
        <v>-1.5908759910174618E-2</v>
      </c>
      <c r="H17" s="9">
        <v>0</v>
      </c>
      <c r="I17" s="3">
        <f t="shared" si="0"/>
        <v>2</v>
      </c>
      <c r="J17" s="14">
        <f t="shared" si="1"/>
        <v>89</v>
      </c>
      <c r="K17" s="15">
        <f t="shared" si="2"/>
        <v>1.6863643028679631</v>
      </c>
      <c r="L17" s="14">
        <f t="shared" si="3"/>
        <v>2</v>
      </c>
    </row>
    <row r="18" spans="1:12" x14ac:dyDescent="0.3">
      <c r="A18" s="8">
        <v>42178</v>
      </c>
      <c r="B18" s="5">
        <v>0.13411680091714107</v>
      </c>
      <c r="C18" s="5">
        <v>5.3379922136737833E-2</v>
      </c>
      <c r="D18" s="5">
        <v>-0.70820384243805634</v>
      </c>
      <c r="E18" s="5">
        <v>0.60080050435307142</v>
      </c>
      <c r="F18" s="5">
        <v>0.18111312770112428</v>
      </c>
      <c r="G18" s="5">
        <v>-0.44469951648205897</v>
      </c>
      <c r="H18" s="9">
        <v>-8.1896339050310015E-3</v>
      </c>
      <c r="I18" s="3">
        <f t="shared" si="0"/>
        <v>1</v>
      </c>
      <c r="J18" s="14">
        <f t="shared" si="1"/>
        <v>57</v>
      </c>
      <c r="K18" s="15">
        <f t="shared" si="2"/>
        <v>1.2893124733564718</v>
      </c>
      <c r="L18" s="14">
        <f t="shared" si="3"/>
        <v>1</v>
      </c>
    </row>
    <row r="19" spans="1:12" x14ac:dyDescent="0.3">
      <c r="A19" s="8">
        <v>42179</v>
      </c>
      <c r="B19" s="5">
        <v>0.50472269877631637</v>
      </c>
      <c r="C19" s="5">
        <v>-5.0434822984366204E-2</v>
      </c>
      <c r="D19" s="5">
        <v>-0.67769066642849862</v>
      </c>
      <c r="E19" s="5">
        <v>0.66836122086856831</v>
      </c>
      <c r="F19" s="5">
        <v>4.7857964041606672E-2</v>
      </c>
      <c r="G19" s="5">
        <v>-0.41241201691398999</v>
      </c>
      <c r="H19" s="9">
        <v>-1.0781697269752755E-3</v>
      </c>
      <c r="I19" s="3">
        <f t="shared" si="0"/>
        <v>2</v>
      </c>
      <c r="J19" s="14">
        <f t="shared" si="1"/>
        <v>34</v>
      </c>
      <c r="K19" s="15">
        <f t="shared" si="2"/>
        <v>1.0814715372286532</v>
      </c>
      <c r="L19" s="14">
        <f t="shared" si="3"/>
        <v>2</v>
      </c>
    </row>
    <row r="20" spans="1:12" x14ac:dyDescent="0.3">
      <c r="A20" s="8">
        <v>42180</v>
      </c>
      <c r="B20" s="5">
        <v>0.54108162507231117</v>
      </c>
      <c r="C20" s="5">
        <v>5.3379922136737826E-2</v>
      </c>
      <c r="D20" s="5">
        <v>-0.57751317211899178</v>
      </c>
      <c r="E20" s="5">
        <v>0.75784363166871693</v>
      </c>
      <c r="F20" s="5">
        <v>-0.32774587638329739</v>
      </c>
      <c r="G20" s="5">
        <v>-0.15362203890431511</v>
      </c>
      <c r="H20" s="9">
        <v>4.6731097912424248E-3</v>
      </c>
      <c r="I20" s="3">
        <f t="shared" si="0"/>
        <v>3</v>
      </c>
      <c r="J20" s="14">
        <f t="shared" si="1"/>
        <v>27</v>
      </c>
      <c r="K20" s="15">
        <f t="shared" si="2"/>
        <v>0.98175677756634039</v>
      </c>
      <c r="L20" s="14">
        <f t="shared" si="3"/>
        <v>3</v>
      </c>
    </row>
    <row r="21" spans="1:12" x14ac:dyDescent="0.3">
      <c r="A21" s="8">
        <v>42181</v>
      </c>
      <c r="B21" s="5">
        <v>0.57999205496802497</v>
      </c>
      <c r="C21" s="5">
        <v>0.39942907254041798</v>
      </c>
      <c r="D21" s="5">
        <v>-0.44441442830098349</v>
      </c>
      <c r="E21" s="5">
        <v>1.1086863410893855</v>
      </c>
      <c r="F21" s="5">
        <v>-0.78798205476678129</v>
      </c>
      <c r="G21" s="5">
        <v>-0.15778688135786348</v>
      </c>
      <c r="H21" s="9">
        <v>-1.5710999880617748E-3</v>
      </c>
      <c r="I21" s="3">
        <f t="shared" si="0"/>
        <v>2</v>
      </c>
      <c r="J21" s="14">
        <f t="shared" si="1"/>
        <v>59</v>
      </c>
      <c r="K21" s="15">
        <f t="shared" si="2"/>
        <v>1.2945275898429376</v>
      </c>
      <c r="L21" s="14">
        <f t="shared" si="3"/>
        <v>2</v>
      </c>
    </row>
    <row r="22" spans="1:12" x14ac:dyDescent="0.3">
      <c r="A22" s="8">
        <v>42184</v>
      </c>
      <c r="B22" s="5">
        <v>0.51429083727526237</v>
      </c>
      <c r="C22" s="5">
        <v>0.55515119022207404</v>
      </c>
      <c r="D22" s="5">
        <v>-0.23372129576509351</v>
      </c>
      <c r="E22" s="5">
        <v>1.0257712941439485</v>
      </c>
      <c r="F22" s="5">
        <v>-0.74272056061669534</v>
      </c>
      <c r="G22" s="5">
        <v>-8.7018744400922526E-2</v>
      </c>
      <c r="H22" s="9">
        <v>-8.1253707060543693E-3</v>
      </c>
      <c r="I22" s="3">
        <f t="shared" si="0"/>
        <v>1</v>
      </c>
      <c r="J22" s="14">
        <f t="shared" si="1"/>
        <v>62</v>
      </c>
      <c r="K22" s="15">
        <f t="shared" si="2"/>
        <v>1.384159058374439</v>
      </c>
      <c r="L22" s="14">
        <f t="shared" si="3"/>
        <v>1</v>
      </c>
    </row>
    <row r="23" spans="1:12" x14ac:dyDescent="0.3">
      <c r="A23" s="8">
        <v>42185</v>
      </c>
      <c r="B23" s="5">
        <v>0.12710016601791396</v>
      </c>
      <c r="C23" s="5">
        <v>0.2437069548587619</v>
      </c>
      <c r="D23" s="5">
        <v>-0.24553251777818033</v>
      </c>
      <c r="E23" s="5">
        <v>0.70599470969170774</v>
      </c>
      <c r="F23" s="5">
        <v>-0.71316192062578754</v>
      </c>
      <c r="G23" s="5">
        <v>0.31290868539985944</v>
      </c>
      <c r="H23" s="9">
        <v>-4.4658952796176269E-3</v>
      </c>
      <c r="I23" s="3">
        <f t="shared" si="0"/>
        <v>1</v>
      </c>
      <c r="J23" s="14">
        <f t="shared" si="1"/>
        <v>56</v>
      </c>
      <c r="K23" s="15">
        <f t="shared" si="2"/>
        <v>1.2779325062360738</v>
      </c>
      <c r="L23" s="14">
        <f t="shared" si="3"/>
        <v>1</v>
      </c>
    </row>
    <row r="24" spans="1:12" x14ac:dyDescent="0.3">
      <c r="A24" s="8">
        <v>42186</v>
      </c>
      <c r="B24" s="5">
        <v>3.2694532828313382E-2</v>
      </c>
      <c r="C24" s="5">
        <v>0.64166347782299415</v>
      </c>
      <c r="D24" s="5">
        <v>-0.32217758950072634</v>
      </c>
      <c r="E24" s="5">
        <v>0.78627449797645654</v>
      </c>
      <c r="F24" s="5">
        <v>-0.60841151412770267</v>
      </c>
      <c r="G24" s="5">
        <v>9.9128632674769818E-2</v>
      </c>
      <c r="H24" s="9">
        <v>-8.841218500899117E-3</v>
      </c>
      <c r="I24" s="3">
        <f t="shared" si="0"/>
        <v>1</v>
      </c>
      <c r="J24" s="14">
        <f t="shared" si="1"/>
        <v>78</v>
      </c>
      <c r="K24" s="15">
        <f t="shared" si="2"/>
        <v>1.5454180197747043</v>
      </c>
      <c r="L24" s="14">
        <f t="shared" si="3"/>
        <v>1</v>
      </c>
    </row>
    <row r="25" spans="1:12" x14ac:dyDescent="0.3">
      <c r="A25" s="8">
        <v>42187</v>
      </c>
      <c r="B25" s="5">
        <v>0.16026971281426014</v>
      </c>
      <c r="C25" s="5">
        <v>0.38212661502023393</v>
      </c>
      <c r="D25" s="5">
        <v>-0.42336168717597689</v>
      </c>
      <c r="E25" s="5">
        <v>0.85961283206033889</v>
      </c>
      <c r="F25" s="5">
        <v>-0.48841308711263431</v>
      </c>
      <c r="G25" s="5">
        <v>-0.11601881018554772</v>
      </c>
      <c r="H25" s="9">
        <v>-5.3045231017961212E-3</v>
      </c>
      <c r="I25" s="3">
        <f t="shared" si="0"/>
        <v>1</v>
      </c>
      <c r="J25" s="14">
        <f t="shared" si="1"/>
        <v>52</v>
      </c>
      <c r="K25" s="15">
        <f t="shared" si="2"/>
        <v>1.2461980114248625</v>
      </c>
      <c r="L25" s="14">
        <f t="shared" si="3"/>
        <v>1</v>
      </c>
    </row>
    <row r="26" spans="1:12" x14ac:dyDescent="0.3">
      <c r="A26" s="8">
        <v>42188</v>
      </c>
      <c r="B26" s="5">
        <v>3.2056656928383644E-2</v>
      </c>
      <c r="C26" s="5">
        <v>0.19179958229820987</v>
      </c>
      <c r="D26" s="5">
        <v>-0.5550098582575782</v>
      </c>
      <c r="E26" s="5">
        <v>0.66658637000403531</v>
      </c>
      <c r="F26" s="5">
        <v>-0.41717615459185564</v>
      </c>
      <c r="G26" s="5">
        <v>7.9489491857559005E-2</v>
      </c>
      <c r="H26" s="9">
        <v>-1.4246201905645961E-3</v>
      </c>
      <c r="I26" s="3">
        <f t="shared" si="0"/>
        <v>2</v>
      </c>
      <c r="J26" s="14">
        <f t="shared" si="1"/>
        <v>50</v>
      </c>
      <c r="K26" s="15">
        <f t="shared" si="2"/>
        <v>1.2254020576063156</v>
      </c>
      <c r="L26" s="14">
        <f t="shared" si="3"/>
        <v>2</v>
      </c>
    </row>
    <row r="27" spans="1:12" x14ac:dyDescent="0.3">
      <c r="A27" s="8">
        <v>42191</v>
      </c>
      <c r="B27" s="5">
        <v>-0.31813721213304025</v>
      </c>
      <c r="C27" s="5">
        <v>0.33021924245968187</v>
      </c>
      <c r="D27" s="5">
        <v>-0.61311460538587625</v>
      </c>
      <c r="E27" s="5">
        <v>0.32092273359790546</v>
      </c>
      <c r="F27" s="5">
        <v>-0.38967535949429127</v>
      </c>
      <c r="G27" s="5">
        <v>0.51708282242497305</v>
      </c>
      <c r="H27" s="9">
        <v>5.7696308675318168E-3</v>
      </c>
      <c r="I27" s="3">
        <f t="shared" si="0"/>
        <v>3</v>
      </c>
      <c r="J27" s="14">
        <f t="shared" si="1"/>
        <v>94</v>
      </c>
      <c r="K27" s="15">
        <f t="shared" si="2"/>
        <v>1.738991931306638</v>
      </c>
      <c r="L27" s="14">
        <f t="shared" si="3"/>
        <v>3</v>
      </c>
    </row>
    <row r="28" spans="1:12" x14ac:dyDescent="0.3">
      <c r="A28" s="8">
        <v>42192</v>
      </c>
      <c r="B28" s="5">
        <v>-0.46165928961723035</v>
      </c>
      <c r="C28" s="5">
        <v>0.67626839286336204</v>
      </c>
      <c r="D28" s="5">
        <v>-0.50640237296623636</v>
      </c>
      <c r="E28" s="5">
        <v>0.25295051770163868</v>
      </c>
      <c r="F28" s="5">
        <v>-0.26310957842607308</v>
      </c>
      <c r="G28" s="5">
        <v>0.48323421911918557</v>
      </c>
      <c r="H28" s="9">
        <v>-2.4341071240510104E-3</v>
      </c>
      <c r="I28" s="3">
        <f t="shared" si="0"/>
        <v>1</v>
      </c>
      <c r="J28" s="14">
        <f t="shared" si="1"/>
        <v>126</v>
      </c>
      <c r="K28" s="15">
        <f t="shared" si="2"/>
        <v>2.0220576221145268</v>
      </c>
      <c r="L28" s="14">
        <f t="shared" si="3"/>
        <v>1</v>
      </c>
    </row>
    <row r="29" spans="1:12" x14ac:dyDescent="0.3">
      <c r="A29" s="8">
        <v>42193</v>
      </c>
      <c r="B29" s="5">
        <v>-0.71744752548905355</v>
      </c>
      <c r="C29" s="5">
        <v>0.26100941237894587</v>
      </c>
      <c r="D29" s="5">
        <v>-0.36498482978823982</v>
      </c>
      <c r="E29" s="5">
        <v>-1.1157266683415514E-2</v>
      </c>
      <c r="F29" s="5">
        <v>-8.2191177115613259E-2</v>
      </c>
      <c r="G29" s="5">
        <v>0.65266525179171675</v>
      </c>
      <c r="H29" s="9">
        <v>-6.467265134130429E-4</v>
      </c>
      <c r="I29" s="3">
        <f t="shared" si="0"/>
        <v>2</v>
      </c>
      <c r="J29" s="14">
        <f t="shared" si="1"/>
        <v>137</v>
      </c>
      <c r="K29" s="15">
        <f t="shared" si="2"/>
        <v>2.0821271647294939</v>
      </c>
      <c r="L29" s="14">
        <f t="shared" si="3"/>
        <v>2</v>
      </c>
    </row>
    <row r="30" spans="1:12" x14ac:dyDescent="0.3">
      <c r="A30" s="8">
        <v>42194</v>
      </c>
      <c r="B30" s="5">
        <v>-0.80866377917900534</v>
      </c>
      <c r="C30" s="5">
        <v>0.60705856278262604</v>
      </c>
      <c r="D30" s="5">
        <v>-0.12734868968430205</v>
      </c>
      <c r="E30" s="5">
        <v>-0.12104422758658955</v>
      </c>
      <c r="F30" s="5">
        <v>0.14919711822323284</v>
      </c>
      <c r="G30" s="5">
        <v>0.56318096235884374</v>
      </c>
      <c r="H30" s="9">
        <v>2.6698472637992411E-3</v>
      </c>
      <c r="I30" s="3">
        <f t="shared" si="0"/>
        <v>3</v>
      </c>
      <c r="J30" s="14">
        <f t="shared" si="1"/>
        <v>177</v>
      </c>
      <c r="K30" s="15">
        <f t="shared" si="2"/>
        <v>2.3617781707279519</v>
      </c>
      <c r="L30" s="14">
        <f t="shared" si="3"/>
        <v>3</v>
      </c>
    </row>
    <row r="31" spans="1:12" x14ac:dyDescent="0.3">
      <c r="A31" s="8">
        <v>42195</v>
      </c>
      <c r="B31" s="5">
        <v>-0.72701566398799966</v>
      </c>
      <c r="C31" s="5">
        <v>0.45133644510096999</v>
      </c>
      <c r="D31" s="5">
        <v>-2.7375789554824448E-2</v>
      </c>
      <c r="E31" s="5">
        <v>-0.15031056233407405</v>
      </c>
      <c r="F31" s="5">
        <v>0.32846813426867116</v>
      </c>
      <c r="G31" s="5">
        <v>0.40884819576278736</v>
      </c>
      <c r="H31" s="9">
        <v>7.177057142489218E-3</v>
      </c>
      <c r="I31" s="3">
        <f t="shared" si="0"/>
        <v>3</v>
      </c>
      <c r="J31" s="14">
        <f t="shared" si="1"/>
        <v>160</v>
      </c>
      <c r="K31" s="15">
        <f t="shared" si="2"/>
        <v>2.2497448147905779</v>
      </c>
      <c r="L31" s="14">
        <f t="shared" si="3"/>
        <v>3</v>
      </c>
    </row>
    <row r="32" spans="1:12" x14ac:dyDescent="0.3">
      <c r="A32" s="8">
        <v>42198</v>
      </c>
      <c r="B32" s="5">
        <v>-0.38128692622608379</v>
      </c>
      <c r="C32" s="5">
        <v>0.27831186989912993</v>
      </c>
      <c r="D32" s="5">
        <v>-0.12672263149341259</v>
      </c>
      <c r="E32" s="5">
        <v>0.17373480862372934</v>
      </c>
      <c r="F32" s="5">
        <v>0.36133818504482423</v>
      </c>
      <c r="G32" s="5">
        <v>-6.1499826002231715E-2</v>
      </c>
      <c r="H32" s="9">
        <v>1.4167709776810255E-3</v>
      </c>
      <c r="I32" s="3">
        <f t="shared" si="0"/>
        <v>2</v>
      </c>
      <c r="J32" s="14">
        <f t="shared" si="1"/>
        <v>95</v>
      </c>
      <c r="K32" s="15">
        <f t="shared" si="2"/>
        <v>1.7419550321619546</v>
      </c>
      <c r="L32" s="14">
        <f t="shared" si="3"/>
        <v>2</v>
      </c>
    </row>
    <row r="33" spans="1:12" x14ac:dyDescent="0.3">
      <c r="A33" s="8">
        <v>42199</v>
      </c>
      <c r="B33" s="5">
        <v>-0.38511418162566224</v>
      </c>
      <c r="C33" s="5">
        <v>0.45133644510096999</v>
      </c>
      <c r="D33" s="5">
        <v>0.18063715922268275</v>
      </c>
      <c r="E33" s="5">
        <v>0.10799466512618419</v>
      </c>
      <c r="F33" s="5">
        <v>-5.693681647035085E-2</v>
      </c>
      <c r="G33" s="5">
        <v>0.45231980714524128</v>
      </c>
      <c r="H33" s="9">
        <v>6.1097998743328222E-3</v>
      </c>
      <c r="I33" s="3">
        <f t="shared" si="0"/>
        <v>3</v>
      </c>
      <c r="J33" s="14">
        <f t="shared" si="1"/>
        <v>111</v>
      </c>
      <c r="K33" s="15">
        <f t="shared" si="2"/>
        <v>1.8970321458176187</v>
      </c>
      <c r="L33" s="14">
        <f t="shared" si="3"/>
        <v>3</v>
      </c>
    </row>
    <row r="34" spans="1:12" x14ac:dyDescent="0.3">
      <c r="A34" s="8">
        <v>42200</v>
      </c>
      <c r="B34" s="5">
        <v>-0.32068871573275914</v>
      </c>
      <c r="C34" s="5">
        <v>0.36482415750004998</v>
      </c>
      <c r="D34" s="5">
        <v>4.1091652791953683E-2</v>
      </c>
      <c r="E34" s="5">
        <v>0.18459589834041407</v>
      </c>
      <c r="F34" s="5">
        <v>-0.15006677808553986</v>
      </c>
      <c r="G34" s="5">
        <v>0.44440033927871303</v>
      </c>
      <c r="H34" s="9">
        <v>2.8939411667980863E-3</v>
      </c>
      <c r="I34" s="3">
        <f t="shared" si="0"/>
        <v>3</v>
      </c>
      <c r="J34" s="14">
        <f t="shared" si="1"/>
        <v>96</v>
      </c>
      <c r="K34" s="15">
        <f t="shared" si="2"/>
        <v>1.7441470004670632</v>
      </c>
      <c r="L34" s="14">
        <f t="shared" si="3"/>
        <v>3</v>
      </c>
    </row>
    <row r="35" spans="1:12" x14ac:dyDescent="0.3">
      <c r="A35" s="8">
        <v>42201</v>
      </c>
      <c r="B35" s="5">
        <v>-0.11401692415552538</v>
      </c>
      <c r="C35" s="5">
        <v>0.79738559550465005</v>
      </c>
      <c r="D35" s="5">
        <v>-7.5815507618542305E-2</v>
      </c>
      <c r="E35" s="5">
        <v>0.36700650768473425</v>
      </c>
      <c r="F35" s="5">
        <v>-0.18521654382439945</v>
      </c>
      <c r="G35" s="5">
        <v>0.23154897235379904</v>
      </c>
      <c r="H35" s="9">
        <v>-7.6320866030567206E-3</v>
      </c>
      <c r="I35" s="3">
        <f t="shared" si="0"/>
        <v>1</v>
      </c>
      <c r="J35" s="14">
        <f t="shared" si="1"/>
        <v>103</v>
      </c>
      <c r="K35" s="15">
        <f t="shared" si="2"/>
        <v>1.8332309633164574</v>
      </c>
      <c r="L35" s="14">
        <f t="shared" si="3"/>
        <v>1</v>
      </c>
    </row>
    <row r="36" spans="1:12" x14ac:dyDescent="0.3">
      <c r="A36" s="8">
        <v>42202</v>
      </c>
      <c r="B36" s="5">
        <v>0.24191782800526607</v>
      </c>
      <c r="C36" s="5">
        <v>1.0569224583074104</v>
      </c>
      <c r="D36" s="5">
        <v>0.14057352688936109</v>
      </c>
      <c r="E36" s="5">
        <v>0.57384937319234286</v>
      </c>
      <c r="F36" s="5">
        <v>1.038410932616789E-2</v>
      </c>
      <c r="G36" s="5">
        <v>-0.2447301041227711</v>
      </c>
      <c r="H36" s="9">
        <v>-1.2000442038151959E-2</v>
      </c>
      <c r="I36" s="3">
        <f t="shared" si="0"/>
        <v>1</v>
      </c>
      <c r="J36" s="14">
        <f t="shared" si="1"/>
        <v>114</v>
      </c>
      <c r="K36" s="15">
        <f t="shared" si="2"/>
        <v>1.9279779444175957</v>
      </c>
      <c r="L36" s="14">
        <f t="shared" si="3"/>
        <v>1</v>
      </c>
    </row>
    <row r="37" spans="1:12" x14ac:dyDescent="0.3">
      <c r="A37" s="8">
        <v>42205</v>
      </c>
      <c r="B37" s="5">
        <v>0.32356594319627197</v>
      </c>
      <c r="C37" s="5">
        <v>1.1261322883881462</v>
      </c>
      <c r="D37" s="5">
        <v>9.0421355538798626E-2</v>
      </c>
      <c r="E37" s="5">
        <v>0.57552446663123447</v>
      </c>
      <c r="F37" s="5">
        <v>-7.3815581997153698E-2</v>
      </c>
      <c r="G37" s="5">
        <v>-0.16318237493311685</v>
      </c>
      <c r="H37" s="9">
        <v>-7.1864018452128418E-3</v>
      </c>
      <c r="I37" s="3">
        <f t="shared" si="0"/>
        <v>1</v>
      </c>
      <c r="J37" s="14">
        <f t="shared" si="1"/>
        <v>117</v>
      </c>
      <c r="K37" s="15">
        <f t="shared" si="2"/>
        <v>1.9629945036680696</v>
      </c>
      <c r="L37" s="14">
        <f t="shared" si="3"/>
        <v>1</v>
      </c>
    </row>
    <row r="38" spans="1:12" x14ac:dyDescent="0.3">
      <c r="A38" s="8">
        <v>42206</v>
      </c>
      <c r="B38" s="5">
        <v>0.54809825997153827</v>
      </c>
      <c r="C38" s="5">
        <v>0.79738559550465005</v>
      </c>
      <c r="D38" s="5">
        <v>-0.33050866451151617</v>
      </c>
      <c r="E38" s="5">
        <v>0.57726190846115188</v>
      </c>
      <c r="F38" s="5">
        <v>0.32005925863980716</v>
      </c>
      <c r="G38" s="5">
        <v>-0.56520646960791487</v>
      </c>
      <c r="H38" s="9">
        <v>-5.2951347968058114E-3</v>
      </c>
      <c r="I38" s="3">
        <f t="shared" si="0"/>
        <v>1</v>
      </c>
      <c r="J38" s="14">
        <f t="shared" si="1"/>
        <v>102</v>
      </c>
      <c r="K38" s="15">
        <f t="shared" si="2"/>
        <v>1.798088250005734</v>
      </c>
      <c r="L38" s="14">
        <f t="shared" si="3"/>
        <v>1</v>
      </c>
    </row>
    <row r="39" spans="1:12" x14ac:dyDescent="0.3">
      <c r="A39" s="8">
        <v>42207</v>
      </c>
      <c r="B39" s="5">
        <v>0.59785258016605758</v>
      </c>
      <c r="C39" s="5">
        <v>0.98771262822667416</v>
      </c>
      <c r="D39" s="5">
        <v>-0.12405267744403126</v>
      </c>
      <c r="E39" s="5">
        <v>0.44975944881350421</v>
      </c>
      <c r="F39" s="5">
        <v>0.273094911707359</v>
      </c>
      <c r="G39" s="5">
        <v>-0.34055566530776349</v>
      </c>
      <c r="H39" s="9">
        <v>1.5898334908847288E-3</v>
      </c>
      <c r="I39" s="3">
        <f t="shared" si="0"/>
        <v>2</v>
      </c>
      <c r="J39" s="14">
        <f t="shared" si="1"/>
        <v>115</v>
      </c>
      <c r="K39" s="15">
        <f t="shared" si="2"/>
        <v>1.9401946343047098</v>
      </c>
      <c r="L39" s="14">
        <f t="shared" si="3"/>
        <v>2</v>
      </c>
    </row>
    <row r="40" spans="1:12" x14ac:dyDescent="0.3">
      <c r="A40" s="8">
        <v>42208</v>
      </c>
      <c r="B40" s="5">
        <v>0.23553906900596874</v>
      </c>
      <c r="C40" s="5">
        <v>0.20910203981839387</v>
      </c>
      <c r="D40" s="5">
        <v>-0.15372701731546917</v>
      </c>
      <c r="E40" s="5">
        <v>-4.3807040783897078E-2</v>
      </c>
      <c r="F40" s="5">
        <v>0.36370110128354199</v>
      </c>
      <c r="G40" s="5">
        <v>0.23378237624133794</v>
      </c>
      <c r="H40" s="9">
        <v>-3.103369738136763E-3</v>
      </c>
      <c r="I40" s="3">
        <f t="shared" si="0"/>
        <v>1</v>
      </c>
      <c r="J40" s="14">
        <f t="shared" si="1"/>
        <v>87</v>
      </c>
      <c r="K40" s="15">
        <f t="shared" si="2"/>
        <v>1.6728341260808888</v>
      </c>
      <c r="L40" s="14">
        <f t="shared" si="3"/>
        <v>1</v>
      </c>
    </row>
    <row r="41" spans="1:12" x14ac:dyDescent="0.3">
      <c r="A41" s="8">
        <v>42209</v>
      </c>
      <c r="B41" s="5">
        <v>-0.26264200883915334</v>
      </c>
      <c r="C41" s="5">
        <v>-0.11964465306510226</v>
      </c>
      <c r="D41" s="5">
        <v>-0.35964901357307777</v>
      </c>
      <c r="E41" s="5">
        <v>-0.38834840615156357</v>
      </c>
      <c r="F41" s="5">
        <v>0.1827660597178799</v>
      </c>
      <c r="G41" s="5">
        <v>0.89045439630784973</v>
      </c>
      <c r="H41" s="9">
        <v>-7.291611199360659E-3</v>
      </c>
      <c r="I41" s="3">
        <f t="shared" si="0"/>
        <v>1</v>
      </c>
      <c r="J41" s="14">
        <f t="shared" si="1"/>
        <v>141</v>
      </c>
      <c r="K41" s="15">
        <f t="shared" si="2"/>
        <v>2.102388440759221</v>
      </c>
      <c r="L41" s="14">
        <f t="shared" si="3"/>
        <v>1</v>
      </c>
    </row>
    <row r="42" spans="1:12" x14ac:dyDescent="0.3">
      <c r="A42" s="8">
        <v>42212</v>
      </c>
      <c r="B42" s="5">
        <v>-0.51141360981174955</v>
      </c>
      <c r="C42" s="5">
        <v>-0.32727414330731036</v>
      </c>
      <c r="D42" s="5">
        <v>-0.12618250285813545</v>
      </c>
      <c r="E42" s="5">
        <v>-0.41167917407339727</v>
      </c>
      <c r="F42" s="5">
        <v>0.19141899242304339</v>
      </c>
      <c r="G42" s="5">
        <v>0.90435619601600004</v>
      </c>
      <c r="H42" s="9">
        <v>-9.1492043576405276E-3</v>
      </c>
      <c r="I42" s="3">
        <f t="shared" si="0"/>
        <v>1</v>
      </c>
      <c r="J42" s="14">
        <f t="shared" si="1"/>
        <v>155</v>
      </c>
      <c r="K42" s="15">
        <f t="shared" si="2"/>
        <v>2.1653144261088397</v>
      </c>
      <c r="L42" s="14">
        <f t="shared" si="3"/>
        <v>1</v>
      </c>
    </row>
    <row r="43" spans="1:12" x14ac:dyDescent="0.3">
      <c r="A43" s="8">
        <v>42213</v>
      </c>
      <c r="B43" s="5">
        <v>-0.67215833659404245</v>
      </c>
      <c r="C43" s="5">
        <v>-0.29266922826694236</v>
      </c>
      <c r="D43" s="5">
        <v>2.4341527272961523E-2</v>
      </c>
      <c r="E43" s="5">
        <v>-0.3416868703078963</v>
      </c>
      <c r="F43" s="5">
        <v>0.30321932037514288</v>
      </c>
      <c r="G43" s="5">
        <v>0.70146968470155946</v>
      </c>
      <c r="H43" s="9">
        <v>-7.9612500800838142E-3</v>
      </c>
      <c r="I43" s="3">
        <f t="shared" si="0"/>
        <v>1</v>
      </c>
      <c r="J43" s="14">
        <f t="shared" si="1"/>
        <v>151</v>
      </c>
      <c r="K43" s="15">
        <f t="shared" si="2"/>
        <v>2.1512778515195752</v>
      </c>
      <c r="L43" s="14">
        <f t="shared" si="3"/>
        <v>1</v>
      </c>
    </row>
    <row r="44" spans="1:12" x14ac:dyDescent="0.3">
      <c r="A44" s="8">
        <v>42214</v>
      </c>
      <c r="B44" s="5">
        <v>-0.56754668900556615</v>
      </c>
      <c r="C44" s="5">
        <v>3.6077464616553812E-2</v>
      </c>
      <c r="D44" s="5">
        <v>3.7365992773621605E-2</v>
      </c>
      <c r="E44" s="5">
        <v>-0.22190729802863746</v>
      </c>
      <c r="F44" s="5">
        <v>0.54495785444978062</v>
      </c>
      <c r="G44" s="5">
        <v>0.28794811797305336</v>
      </c>
      <c r="H44" s="9">
        <v>-1.7186455802147903E-2</v>
      </c>
      <c r="I44" s="3">
        <f t="shared" si="0"/>
        <v>1</v>
      </c>
      <c r="J44" s="14">
        <f t="shared" si="1"/>
        <v>136</v>
      </c>
      <c r="K44" s="15">
        <f t="shared" si="2"/>
        <v>2.0737370654906884</v>
      </c>
      <c r="L44" s="14">
        <f t="shared" si="3"/>
        <v>1</v>
      </c>
    </row>
    <row r="45" spans="1:12" x14ac:dyDescent="0.3">
      <c r="A45" s="8">
        <v>42215</v>
      </c>
      <c r="B45" s="5">
        <v>-0.62495551999924215</v>
      </c>
      <c r="C45" s="5">
        <v>0.48594136014133804</v>
      </c>
      <c r="D45" s="5">
        <v>0.24078784815127313</v>
      </c>
      <c r="E45" s="5">
        <v>-0.3020457632937279</v>
      </c>
      <c r="F45" s="5">
        <v>0.42563613114626975</v>
      </c>
      <c r="G45" s="5">
        <v>0.52907597340270107</v>
      </c>
      <c r="H45" s="9">
        <v>-1.7177934376085703E-2</v>
      </c>
      <c r="I45" s="3">
        <f t="shared" si="0"/>
        <v>1</v>
      </c>
      <c r="J45" s="14">
        <f t="shared" si="1"/>
        <v>179</v>
      </c>
      <c r="K45" s="15">
        <f t="shared" si="2"/>
        <v>2.3906337104397992</v>
      </c>
      <c r="L45" s="14">
        <f t="shared" si="3"/>
        <v>1</v>
      </c>
    </row>
    <row r="46" spans="1:12" x14ac:dyDescent="0.3">
      <c r="A46" s="8">
        <v>42216</v>
      </c>
      <c r="B46" s="5">
        <v>-0.78442449498167544</v>
      </c>
      <c r="C46" s="5">
        <v>1.0569224583074104</v>
      </c>
      <c r="D46" s="5">
        <v>0.63975672891725155</v>
      </c>
      <c r="E46" s="5">
        <v>-0.36743675580152885</v>
      </c>
      <c r="F46" s="5">
        <v>0.19488016550510875</v>
      </c>
      <c r="G46" s="5">
        <v>0.85848025697910368</v>
      </c>
      <c r="H46" s="9">
        <v>-8.4458908576269913E-3</v>
      </c>
      <c r="I46" s="3">
        <f t="shared" si="0"/>
        <v>1</v>
      </c>
      <c r="J46" s="14">
        <f t="shared" si="1"/>
        <v>205</v>
      </c>
      <c r="K46" s="15">
        <f t="shared" si="2"/>
        <v>2.9509994486937088</v>
      </c>
      <c r="L46" s="14">
        <f t="shared" si="3"/>
        <v>1</v>
      </c>
    </row>
    <row r="47" spans="1:12" x14ac:dyDescent="0.3">
      <c r="A47" s="8">
        <v>42219</v>
      </c>
      <c r="B47" s="5">
        <v>-0.97323576136087675</v>
      </c>
      <c r="C47" s="5">
        <v>1.0396200007872263</v>
      </c>
      <c r="D47" s="5">
        <v>0.5453385607755673</v>
      </c>
      <c r="E47" s="5">
        <v>-0.36532938018485861</v>
      </c>
      <c r="F47" s="5">
        <v>0.1507280217018386</v>
      </c>
      <c r="G47" s="5">
        <v>0.91117035685655234</v>
      </c>
      <c r="H47" s="9">
        <v>-5.872615343236731E-3</v>
      </c>
      <c r="I47" s="3">
        <f t="shared" si="0"/>
        <v>1</v>
      </c>
      <c r="J47" s="14">
        <f t="shared" si="1"/>
        <v>207</v>
      </c>
      <c r="K47" s="15">
        <f t="shared" si="2"/>
        <v>3.0142726869319225</v>
      </c>
      <c r="L47" s="14">
        <f t="shared" si="3"/>
        <v>1</v>
      </c>
    </row>
    <row r="48" spans="1:12" x14ac:dyDescent="0.3">
      <c r="A48" s="8">
        <v>42220</v>
      </c>
      <c r="B48" s="5">
        <v>-1.0625383873510394</v>
      </c>
      <c r="C48" s="5">
        <v>0.78008313798446627</v>
      </c>
      <c r="D48" s="5">
        <v>0.52336514584042926</v>
      </c>
      <c r="E48" s="5">
        <v>-0.32924628801855937</v>
      </c>
      <c r="F48" s="5">
        <v>-4.8039826688887878E-2</v>
      </c>
      <c r="G48" s="5">
        <v>1.059463817022019</v>
      </c>
      <c r="H48" s="9">
        <v>-4.2754941544735914E-3</v>
      </c>
      <c r="I48" s="3">
        <f t="shared" si="0"/>
        <v>1</v>
      </c>
      <c r="J48" s="14">
        <f t="shared" si="1"/>
        <v>202</v>
      </c>
      <c r="K48" s="15">
        <f t="shared" si="2"/>
        <v>2.9259859390595024</v>
      </c>
      <c r="L48" s="14">
        <f t="shared" si="3"/>
        <v>1</v>
      </c>
    </row>
    <row r="49" spans="1:12" x14ac:dyDescent="0.3">
      <c r="A49" s="8">
        <v>42221</v>
      </c>
      <c r="B49" s="5">
        <v>-1.4312306575104257</v>
      </c>
      <c r="C49" s="5">
        <v>0.43403398758078604</v>
      </c>
      <c r="D49" s="5">
        <v>0.48523083662478311</v>
      </c>
      <c r="E49" s="5">
        <v>-0.3832649340032645</v>
      </c>
      <c r="F49" s="5">
        <v>-0.41707076630890816</v>
      </c>
      <c r="G49" s="5">
        <v>1.507078977788874</v>
      </c>
      <c r="H49" s="9">
        <v>-8.6467925434163817E-4</v>
      </c>
      <c r="I49" s="3">
        <f t="shared" si="0"/>
        <v>2</v>
      </c>
      <c r="J49" s="14">
        <f t="shared" si="1"/>
        <v>209</v>
      </c>
      <c r="K49" s="15">
        <f t="shared" si="2"/>
        <v>3.1985156009931757</v>
      </c>
      <c r="L49" s="14">
        <f t="shared" si="3"/>
        <v>2</v>
      </c>
    </row>
    <row r="50" spans="1:12" x14ac:dyDescent="0.3">
      <c r="A50" s="8">
        <v>42222</v>
      </c>
      <c r="B50" s="5">
        <v>-1.741238344876276</v>
      </c>
      <c r="C50" s="5">
        <v>0.36482415750004998</v>
      </c>
      <c r="D50" s="5">
        <v>0.68080036737291316</v>
      </c>
      <c r="E50" s="5">
        <v>-0.195438327758508</v>
      </c>
      <c r="F50" s="5">
        <v>-0.67461754282567166</v>
      </c>
      <c r="G50" s="5">
        <v>1.507603144007378</v>
      </c>
      <c r="H50" s="9">
        <v>4.4347714988642647E-3</v>
      </c>
      <c r="I50" s="3">
        <f t="shared" si="0"/>
        <v>3</v>
      </c>
      <c r="J50" s="14">
        <f t="shared" si="1"/>
        <v>212</v>
      </c>
      <c r="K50" s="15">
        <f t="shared" si="2"/>
        <v>3.3536553274191285</v>
      </c>
      <c r="L50" s="14">
        <f t="shared" si="3"/>
        <v>3</v>
      </c>
    </row>
    <row r="51" spans="1:12" x14ac:dyDescent="0.3">
      <c r="A51" s="8">
        <v>42223</v>
      </c>
      <c r="B51" s="5">
        <v>-1.7431519725760656</v>
      </c>
      <c r="C51" s="5">
        <v>-6.7737280504550218E-2</v>
      </c>
      <c r="D51" s="5">
        <v>0.44378414763446389</v>
      </c>
      <c r="E51" s="5">
        <v>0.32618493780047836</v>
      </c>
      <c r="F51" s="5">
        <v>-0.73710170111007323</v>
      </c>
      <c r="G51" s="5">
        <v>0.85649754128302324</v>
      </c>
      <c r="H51" s="9">
        <v>-5.7146744888111559E-3</v>
      </c>
      <c r="I51" s="3">
        <f t="shared" si="0"/>
        <v>1</v>
      </c>
      <c r="J51" s="14">
        <f t="shared" si="1"/>
        <v>199</v>
      </c>
      <c r="K51" s="15">
        <f t="shared" si="2"/>
        <v>2.7310151245034913</v>
      </c>
      <c r="L51" s="14">
        <f t="shared" si="3"/>
        <v>1</v>
      </c>
    </row>
    <row r="52" spans="1:12" x14ac:dyDescent="0.3">
      <c r="A52" s="8">
        <v>42226</v>
      </c>
      <c r="B52" s="5">
        <v>-1.6564008501856216</v>
      </c>
      <c r="C52" s="5">
        <v>-0.17155202562565425</v>
      </c>
      <c r="D52" s="5">
        <v>0.2751146596765755</v>
      </c>
      <c r="E52" s="5">
        <v>0.46341374644814232</v>
      </c>
      <c r="F52" s="5">
        <v>-0.74258743857507759</v>
      </c>
      <c r="G52" s="5">
        <v>0.67588809425500396</v>
      </c>
      <c r="H52" s="9">
        <v>-1.7605747491913348E-3</v>
      </c>
      <c r="I52" s="3">
        <f t="shared" si="0"/>
        <v>2</v>
      </c>
      <c r="J52" s="14">
        <f t="shared" si="1"/>
        <v>191</v>
      </c>
      <c r="K52" s="15">
        <f t="shared" si="2"/>
        <v>2.5069561983757294</v>
      </c>
      <c r="L52" s="14">
        <f t="shared" si="3"/>
        <v>2</v>
      </c>
    </row>
    <row r="53" spans="1:12" x14ac:dyDescent="0.3">
      <c r="A53" s="8">
        <v>42227</v>
      </c>
      <c r="B53" s="5">
        <v>-1.5173439040009395</v>
      </c>
      <c r="C53" s="5">
        <v>7.0682379656921854E-2</v>
      </c>
      <c r="D53" s="5">
        <v>0.22682838724787949</v>
      </c>
      <c r="E53" s="5">
        <v>0.74140443923492894</v>
      </c>
      <c r="F53" s="5">
        <v>-0.88188856162474139</v>
      </c>
      <c r="G53" s="5">
        <v>0.43241858321877846</v>
      </c>
      <c r="H53" s="9">
        <v>-5.1925602512632447E-4</v>
      </c>
      <c r="I53" s="3">
        <f t="shared" si="0"/>
        <v>2</v>
      </c>
      <c r="J53" s="14">
        <f t="shared" si="1"/>
        <v>176</v>
      </c>
      <c r="K53" s="15">
        <f t="shared" si="2"/>
        <v>2.3552386087888415</v>
      </c>
      <c r="L53" s="14">
        <f t="shared" si="3"/>
        <v>2</v>
      </c>
    </row>
    <row r="54" spans="1:12" x14ac:dyDescent="0.3">
      <c r="A54" s="8">
        <v>42228</v>
      </c>
      <c r="B54" s="5">
        <v>-1.2411436393313651</v>
      </c>
      <c r="C54" s="5">
        <v>7.0682379656921868E-2</v>
      </c>
      <c r="D54" s="5">
        <v>0.15937368609224606</v>
      </c>
      <c r="E54" s="5">
        <v>0.54133260899271618</v>
      </c>
      <c r="F54" s="5">
        <v>-0.33022527440843086</v>
      </c>
      <c r="G54" s="5">
        <v>0.14226979144121024</v>
      </c>
      <c r="H54" s="9">
        <v>-2.616696724172485E-3</v>
      </c>
      <c r="I54" s="3">
        <f t="shared" si="0"/>
        <v>1</v>
      </c>
      <c r="J54" s="14">
        <f t="shared" si="1"/>
        <v>123</v>
      </c>
      <c r="K54" s="15">
        <f t="shared" si="2"/>
        <v>2.0167947857404962</v>
      </c>
      <c r="L54" s="14">
        <f t="shared" si="3"/>
        <v>1</v>
      </c>
    </row>
    <row r="55" spans="1:12" x14ac:dyDescent="0.3">
      <c r="A55" s="8">
        <v>42229</v>
      </c>
      <c r="B55" s="5">
        <v>-0.80164714427977835</v>
      </c>
      <c r="C55" s="5">
        <v>-0.37918151586786236</v>
      </c>
      <c r="D55" s="5">
        <v>-0.35941577620784448</v>
      </c>
      <c r="E55" s="5">
        <v>0.65575853276256457</v>
      </c>
      <c r="F55" s="5">
        <v>-0.1416911829670803</v>
      </c>
      <c r="G55" s="5">
        <v>-0.20832903923122501</v>
      </c>
      <c r="H55" s="9">
        <v>-6.961880933172182E-3</v>
      </c>
      <c r="I55" s="3">
        <f t="shared" si="0"/>
        <v>1</v>
      </c>
      <c r="J55" s="14">
        <f t="shared" si="1"/>
        <v>67</v>
      </c>
      <c r="K55" s="15">
        <f t="shared" si="2"/>
        <v>1.4316965696364543</v>
      </c>
      <c r="L55" s="14">
        <f t="shared" si="3"/>
        <v>1</v>
      </c>
    </row>
    <row r="56" spans="1:12" x14ac:dyDescent="0.3">
      <c r="A56" s="8">
        <v>42233</v>
      </c>
      <c r="B56" s="5">
        <v>-0.73339442298729673</v>
      </c>
      <c r="C56" s="5">
        <v>-0.11964465306510226</v>
      </c>
      <c r="D56" s="5">
        <v>-0.45869510206702302</v>
      </c>
      <c r="E56" s="5">
        <v>2.9302682532891079E-2</v>
      </c>
      <c r="F56" s="5">
        <v>0.20869712407469998</v>
      </c>
      <c r="G56" s="5">
        <v>0.29684754876982833</v>
      </c>
      <c r="H56" s="9">
        <v>-4.5810523157811646E-3</v>
      </c>
      <c r="I56" s="3">
        <f t="shared" si="0"/>
        <v>1</v>
      </c>
      <c r="J56" s="14">
        <f t="shared" si="1"/>
        <v>109</v>
      </c>
      <c r="K56" s="15">
        <f t="shared" si="2"/>
        <v>1.8732488530371021</v>
      </c>
      <c r="L56" s="14">
        <f t="shared" si="3"/>
        <v>1</v>
      </c>
    </row>
    <row r="57" spans="1:12" x14ac:dyDescent="0.3">
      <c r="A57" s="8">
        <v>42234</v>
      </c>
      <c r="B57" s="5">
        <v>-0.55351341920711195</v>
      </c>
      <c r="C57" s="5">
        <v>8.7984837177105826E-2</v>
      </c>
      <c r="D57" s="5">
        <v>-0.21886571235317193</v>
      </c>
      <c r="E57" s="5">
        <v>6.7410019127826154E-2</v>
      </c>
      <c r="F57" s="5">
        <v>0.29401725924830557</v>
      </c>
      <c r="G57" s="5">
        <v>0.15020065422553214</v>
      </c>
      <c r="H57" s="9">
        <v>-9.4135021715970879E-3</v>
      </c>
      <c r="I57" s="3">
        <f t="shared" si="0"/>
        <v>1</v>
      </c>
      <c r="J57" s="14">
        <f t="shared" si="1"/>
        <v>100</v>
      </c>
      <c r="K57" s="15">
        <f t="shared" si="2"/>
        <v>1.7918984086822236</v>
      </c>
      <c r="L57" s="14">
        <f t="shared" si="3"/>
        <v>1</v>
      </c>
    </row>
    <row r="58" spans="1:12" x14ac:dyDescent="0.3">
      <c r="A58" s="8">
        <v>42235</v>
      </c>
      <c r="B58" s="5">
        <v>-0.35768551792868364</v>
      </c>
      <c r="C58" s="5">
        <v>0.15719466725784187</v>
      </c>
      <c r="D58" s="5">
        <v>0.12511643658815358</v>
      </c>
      <c r="E58" s="5">
        <v>0.36888527253430997</v>
      </c>
      <c r="F58" s="5">
        <v>7.376684139149034E-2</v>
      </c>
      <c r="G58" s="5">
        <v>-3.3342984134330414E-2</v>
      </c>
      <c r="H58" s="9">
        <v>-1.5676639153258166E-2</v>
      </c>
      <c r="I58" s="3">
        <f t="shared" si="0"/>
        <v>1</v>
      </c>
      <c r="J58" s="14">
        <f t="shared" si="1"/>
        <v>72</v>
      </c>
      <c r="K58" s="15">
        <f t="shared" si="2"/>
        <v>1.4935813932576802</v>
      </c>
      <c r="L58" s="14">
        <f t="shared" si="3"/>
        <v>1</v>
      </c>
    </row>
    <row r="59" spans="1:12" x14ac:dyDescent="0.3">
      <c r="A59" s="8">
        <v>42236</v>
      </c>
      <c r="B59" s="5">
        <v>-0.29517367973556974</v>
      </c>
      <c r="C59" s="5">
        <v>0.45133644510096999</v>
      </c>
      <c r="D59" s="5">
        <v>0.11087463571631966</v>
      </c>
      <c r="E59" s="5">
        <v>0.45234898532077344</v>
      </c>
      <c r="F59" s="5">
        <v>-0.21650577035634005</v>
      </c>
      <c r="G59" s="5">
        <v>0.14993287365738328</v>
      </c>
      <c r="H59" s="9">
        <v>-1.305994242908568E-2</v>
      </c>
      <c r="I59" s="3">
        <f t="shared" si="0"/>
        <v>1</v>
      </c>
      <c r="J59" s="14">
        <f t="shared" si="1"/>
        <v>81</v>
      </c>
      <c r="K59" s="15">
        <f t="shared" si="2"/>
        <v>1.5995738339864285</v>
      </c>
      <c r="L59" s="14">
        <f t="shared" si="3"/>
        <v>1</v>
      </c>
    </row>
    <row r="60" spans="1:12" x14ac:dyDescent="0.3">
      <c r="A60" s="8">
        <v>42237</v>
      </c>
      <c r="B60" s="5">
        <v>-0.42466248742130563</v>
      </c>
      <c r="C60" s="5">
        <v>0.74547822294409816</v>
      </c>
      <c r="D60" s="5">
        <v>0.6396278345838331</v>
      </c>
      <c r="E60" s="5">
        <v>-2.5322821124464667E-2</v>
      </c>
      <c r="F60" s="5">
        <v>0.42778272406735846</v>
      </c>
      <c r="G60" s="5">
        <v>0.1362076951750332</v>
      </c>
      <c r="H60" s="9">
        <v>-3.666463816694332E-3</v>
      </c>
      <c r="I60" s="3">
        <f t="shared" si="0"/>
        <v>1</v>
      </c>
      <c r="J60" s="14">
        <f t="shared" si="1"/>
        <v>174</v>
      </c>
      <c r="K60" s="15">
        <f t="shared" si="2"/>
        <v>2.3273997559518258</v>
      </c>
      <c r="L60" s="14">
        <f t="shared" si="3"/>
        <v>1</v>
      </c>
    </row>
    <row r="61" spans="1:12" x14ac:dyDescent="0.3">
      <c r="A61" s="8">
        <v>42240</v>
      </c>
      <c r="B61" s="5">
        <v>-0.4801576907151926</v>
      </c>
      <c r="C61" s="5">
        <v>1.5240888113523785</v>
      </c>
      <c r="D61" s="5">
        <v>1.0925482006235165</v>
      </c>
      <c r="E61" s="5">
        <v>-0.23177081348891032</v>
      </c>
      <c r="F61" s="5">
        <v>0.69763774268204348</v>
      </c>
      <c r="G61" s="5">
        <v>0.12415187214944048</v>
      </c>
      <c r="H61" s="9">
        <v>1.8450315349653578E-3</v>
      </c>
      <c r="I61" s="3">
        <f t="shared" si="0"/>
        <v>2</v>
      </c>
      <c r="J61" s="14">
        <f t="shared" si="1"/>
        <v>210</v>
      </c>
      <c r="K61" s="15">
        <f t="shared" si="2"/>
        <v>3.2037143633928533</v>
      </c>
      <c r="L61" s="14">
        <f t="shared" si="3"/>
        <v>2</v>
      </c>
    </row>
    <row r="62" spans="1:12" x14ac:dyDescent="0.3">
      <c r="A62" s="8">
        <v>42241</v>
      </c>
      <c r="B62" s="5">
        <v>-0.69639762079137235</v>
      </c>
      <c r="C62" s="5">
        <v>1.8009281316753225</v>
      </c>
      <c r="D62" s="5">
        <v>1.4216318013751146</v>
      </c>
      <c r="E62" s="5">
        <v>-0.73936984762650582</v>
      </c>
      <c r="F62" s="5">
        <v>0.63832077963780098</v>
      </c>
      <c r="G62" s="5">
        <v>0.87974887104079458</v>
      </c>
      <c r="H62" s="9">
        <v>1.1090601432851344E-3</v>
      </c>
      <c r="I62" s="3">
        <f t="shared" si="0"/>
        <v>2</v>
      </c>
      <c r="J62" s="14">
        <f t="shared" si="1"/>
        <v>219</v>
      </c>
      <c r="K62" s="15">
        <f t="shared" si="2"/>
        <v>3.9224137363743976</v>
      </c>
      <c r="L62" s="14">
        <f t="shared" si="3"/>
        <v>2</v>
      </c>
    </row>
    <row r="63" spans="1:12" x14ac:dyDescent="0.3">
      <c r="A63" s="8">
        <v>42242</v>
      </c>
      <c r="B63" s="5">
        <v>-1.0963458100473154</v>
      </c>
      <c r="C63" s="5">
        <v>1.6106010989532984</v>
      </c>
      <c r="D63" s="5">
        <v>1.7439433347677451</v>
      </c>
      <c r="E63" s="5">
        <v>-2.2021379191597057</v>
      </c>
      <c r="F63" s="5">
        <v>1.6468089929211369</v>
      </c>
      <c r="G63" s="5">
        <v>1.8060360410208687</v>
      </c>
      <c r="H63" s="9">
        <v>4.2653447842873502E-3</v>
      </c>
      <c r="I63" s="3">
        <f t="shared" si="0"/>
        <v>3</v>
      </c>
      <c r="J63" s="14">
        <f t="shared" si="1"/>
        <v>224</v>
      </c>
      <c r="K63" s="15">
        <f t="shared" si="2"/>
        <v>5.4505854698242073</v>
      </c>
      <c r="L63" s="14">
        <f t="shared" si="3"/>
        <v>3</v>
      </c>
    </row>
    <row r="64" spans="1:12" x14ac:dyDescent="0.3">
      <c r="A64" s="8">
        <v>42243</v>
      </c>
      <c r="B64" s="5">
        <v>-1.3578749290185061</v>
      </c>
      <c r="C64" s="5">
        <v>1.2991568635899864</v>
      </c>
      <c r="D64" s="5">
        <v>2.3153114553935445</v>
      </c>
      <c r="E64" s="5">
        <v>-2.5763446489774213</v>
      </c>
      <c r="F64" s="5">
        <v>1.8753906318825391</v>
      </c>
      <c r="G64" s="5">
        <v>2.065287513201183</v>
      </c>
      <c r="H64" s="9">
        <v>1.005236695617775E-2</v>
      </c>
      <c r="I64" s="3">
        <f t="shared" si="0"/>
        <v>3</v>
      </c>
      <c r="J64" s="14">
        <f t="shared" si="1"/>
        <v>226</v>
      </c>
      <c r="K64" s="15">
        <f t="shared" si="2"/>
        <v>6.0252901029763972</v>
      </c>
      <c r="L64" s="14">
        <f t="shared" si="3"/>
        <v>3</v>
      </c>
    </row>
    <row r="65" spans="1:12" x14ac:dyDescent="0.3">
      <c r="A65" s="8">
        <v>42244</v>
      </c>
      <c r="B65" s="5">
        <v>-1.2590041645293977</v>
      </c>
      <c r="C65" s="5">
        <v>0.97041017070649027</v>
      </c>
      <c r="D65" s="5">
        <v>2.4245074611587389</v>
      </c>
      <c r="E65" s="5">
        <v>-2.2465091907730272</v>
      </c>
      <c r="F65" s="5">
        <v>1.3473121330395326</v>
      </c>
      <c r="G65" s="5">
        <v>2.1594779036827987</v>
      </c>
      <c r="H65" s="9">
        <v>8.6891493020907259E-3</v>
      </c>
      <c r="I65" s="3">
        <f t="shared" si="0"/>
        <v>3</v>
      </c>
      <c r="J65" s="14">
        <f t="shared" si="1"/>
        <v>225</v>
      </c>
      <c r="K65" s="15">
        <f t="shared" si="2"/>
        <v>5.6026215778396651</v>
      </c>
      <c r="L65" s="14">
        <f t="shared" si="3"/>
        <v>3</v>
      </c>
    </row>
    <row r="66" spans="1:12" x14ac:dyDescent="0.3">
      <c r="A66" s="8">
        <v>42247</v>
      </c>
      <c r="B66" s="5">
        <v>-0.99556141785841756</v>
      </c>
      <c r="C66" s="5">
        <v>0.19179958229820987</v>
      </c>
      <c r="D66" s="5">
        <v>2.3420907876175692</v>
      </c>
      <c r="E66" s="5">
        <v>-1.6519798733079365</v>
      </c>
      <c r="F66" s="5">
        <v>0.96850781686406506</v>
      </c>
      <c r="G66" s="5">
        <v>1.7421789217057255</v>
      </c>
      <c r="H66" s="9">
        <v>4.1800703755132673E-3</v>
      </c>
      <c r="I66" s="3">
        <f t="shared" si="0"/>
        <v>3</v>
      </c>
      <c r="J66" s="14">
        <f t="shared" si="1"/>
        <v>223</v>
      </c>
      <c r="K66" s="15">
        <f t="shared" si="2"/>
        <v>4.6551194761146268</v>
      </c>
      <c r="L66" s="14">
        <f t="shared" si="3"/>
        <v>3</v>
      </c>
    </row>
    <row r="67" spans="1:12" x14ac:dyDescent="0.3">
      <c r="A67" s="8">
        <v>42248</v>
      </c>
      <c r="B67" s="5">
        <v>-0.76783972158350244</v>
      </c>
      <c r="C67" s="5">
        <v>-0.20615694066602228</v>
      </c>
      <c r="D67" s="5">
        <v>2.0308068805285133</v>
      </c>
      <c r="E67" s="5">
        <v>-1.0960733058035941</v>
      </c>
      <c r="F67" s="5">
        <v>0.76358307404851056</v>
      </c>
      <c r="G67" s="5">
        <v>1.1831841369656604</v>
      </c>
      <c r="H67" s="9">
        <v>8.3044420283119539E-3</v>
      </c>
      <c r="I67" s="3">
        <f t="shared" si="0"/>
        <v>3</v>
      </c>
      <c r="J67" s="14">
        <f t="shared" si="1"/>
        <v>217</v>
      </c>
      <c r="K67" s="15">
        <f t="shared" si="2"/>
        <v>3.7488456733524664</v>
      </c>
      <c r="L67" s="14">
        <f t="shared" si="3"/>
        <v>3</v>
      </c>
    </row>
    <row r="68" spans="1:12" x14ac:dyDescent="0.3">
      <c r="A68" s="8">
        <v>42249</v>
      </c>
      <c r="B68" s="5">
        <v>-0.44826389571870584</v>
      </c>
      <c r="C68" s="5">
        <v>-0.10234219554491823</v>
      </c>
      <c r="D68" s="5">
        <v>1.526954839312356</v>
      </c>
      <c r="E68" s="5">
        <v>-0.11523751410239194</v>
      </c>
      <c r="F68" s="5">
        <v>0.24516701672627045</v>
      </c>
      <c r="G68" s="5">
        <v>0.41864782506525416</v>
      </c>
      <c r="H68" s="9">
        <v>1.0194428381236164E-2</v>
      </c>
      <c r="I68" s="3">
        <f t="shared" si="0"/>
        <v>3</v>
      </c>
      <c r="J68" s="14">
        <f t="shared" si="1"/>
        <v>187</v>
      </c>
      <c r="K68" s="15">
        <f t="shared" si="2"/>
        <v>2.4565323425385142</v>
      </c>
      <c r="L68" s="14">
        <f t="shared" si="3"/>
        <v>3</v>
      </c>
    </row>
    <row r="69" spans="1:12" x14ac:dyDescent="0.3">
      <c r="A69" s="8">
        <v>42250</v>
      </c>
      <c r="B69" s="5">
        <v>3.0780905128524161E-2</v>
      </c>
      <c r="C69" s="5">
        <v>1.8775007096369811E-2</v>
      </c>
      <c r="D69" s="5">
        <v>1.1377225955739683</v>
      </c>
      <c r="E69" s="5">
        <v>0.56036133793377352</v>
      </c>
      <c r="F69" s="5">
        <v>-3.2042994687803535E-2</v>
      </c>
      <c r="G69" s="5">
        <v>-0.20397048317518607</v>
      </c>
      <c r="H69" s="9">
        <v>2.1276796410109712E-3</v>
      </c>
      <c r="I69" s="3">
        <f t="shared" si="0"/>
        <v>3</v>
      </c>
      <c r="J69" s="14">
        <f t="shared" si="1"/>
        <v>85</v>
      </c>
      <c r="K69" s="15">
        <f t="shared" si="2"/>
        <v>1.6576421406433022</v>
      </c>
      <c r="L69" s="14">
        <f t="shared" si="3"/>
        <v>3</v>
      </c>
    </row>
    <row r="70" spans="1:12" x14ac:dyDescent="0.3">
      <c r="A70" s="8">
        <v>42251</v>
      </c>
      <c r="B70" s="5">
        <v>0.40967918968678607</v>
      </c>
      <c r="C70" s="5">
        <v>0.2437069548587619</v>
      </c>
      <c r="D70" s="5">
        <v>0.70707435197226542</v>
      </c>
      <c r="E70" s="5">
        <v>0.96203045571862889</v>
      </c>
      <c r="F70" s="5">
        <v>-0.13929498621795811</v>
      </c>
      <c r="G70" s="5">
        <v>-0.64089721105167641</v>
      </c>
      <c r="H70" s="9">
        <v>-2.4955760510884774E-3</v>
      </c>
      <c r="I70" s="3">
        <f t="shared" si="0"/>
        <v>1</v>
      </c>
      <c r="J70" s="14">
        <f t="shared" si="1"/>
        <v>65</v>
      </c>
      <c r="K70" s="15">
        <f t="shared" si="2"/>
        <v>1.4116883064122154</v>
      </c>
      <c r="L70" s="14">
        <f t="shared" si="3"/>
        <v>1</v>
      </c>
    </row>
    <row r="71" spans="1:12" x14ac:dyDescent="0.3">
      <c r="A71" s="8">
        <v>42254</v>
      </c>
      <c r="B71" s="5">
        <v>0.59849045606598728</v>
      </c>
      <c r="C71" s="5">
        <v>1.8775007096369808E-2</v>
      </c>
      <c r="D71" s="5">
        <v>0.26411976844180529</v>
      </c>
      <c r="E71" s="5">
        <v>0.69490500920792864</v>
      </c>
      <c r="F71" s="5">
        <v>0.12744275792217444</v>
      </c>
      <c r="G71" s="5">
        <v>-0.55274042954175395</v>
      </c>
      <c r="H71" s="9">
        <v>2.1467111286217035E-3</v>
      </c>
      <c r="I71" s="3">
        <f t="shared" ref="I71:I134" si="5">IF(H71&lt;-0.2%,1,IF(ABS(H71)&lt;0.2%,2,3))</f>
        <v>3</v>
      </c>
      <c r="J71" s="14">
        <f t="shared" ref="J71:J134" si="6">RANK(K71, $K$6:$K$231, 1)</f>
        <v>36</v>
      </c>
      <c r="K71" s="15">
        <f t="shared" ref="K71:K134" si="7">SQRT(($K$3-B71)^2 + ($L$3-C71)^2 + ($M$3 - D71)^2 + ($N$3 - E71)^2 + ($O$3 - F71)^2 + ($P$3 - G71)^2)</f>
        <v>1.1273879703596263</v>
      </c>
      <c r="L71" s="14">
        <f t="shared" ref="L71:L134" si="8">I71</f>
        <v>3</v>
      </c>
    </row>
    <row r="72" spans="1:12" x14ac:dyDescent="0.3">
      <c r="A72" s="8">
        <v>42255</v>
      </c>
      <c r="B72" s="5">
        <v>0.87150134123591327</v>
      </c>
      <c r="C72" s="5">
        <v>0.2437069548587619</v>
      </c>
      <c r="D72" s="5">
        <v>0.14536921446924597</v>
      </c>
      <c r="E72" s="5">
        <v>0.49752662945802795</v>
      </c>
      <c r="F72" s="5">
        <v>0.43307432522167</v>
      </c>
      <c r="G72" s="5">
        <v>-0.59751106155267431</v>
      </c>
      <c r="H72" s="9">
        <v>-1.4197042755352384E-3</v>
      </c>
      <c r="I72" s="3">
        <f t="shared" si="5"/>
        <v>2</v>
      </c>
      <c r="J72" s="14">
        <f t="shared" si="6"/>
        <v>73</v>
      </c>
      <c r="K72" s="15">
        <f t="shared" si="7"/>
        <v>1.5158625018853602</v>
      </c>
      <c r="L72" s="14">
        <f t="shared" si="8"/>
        <v>2</v>
      </c>
    </row>
    <row r="73" spans="1:12" x14ac:dyDescent="0.3">
      <c r="A73" s="8">
        <v>42256</v>
      </c>
      <c r="B73" s="5">
        <v>1.1228244458082286</v>
      </c>
      <c r="C73" s="5">
        <v>-8.5039738024734232E-2</v>
      </c>
      <c r="D73" s="5">
        <v>3.6306194921070255E-2</v>
      </c>
      <c r="E73" s="5">
        <v>0.13802996336298623</v>
      </c>
      <c r="F73" s="5">
        <v>0.82005455345317047</v>
      </c>
      <c r="G73" s="5">
        <v>-0.5079697975308336</v>
      </c>
      <c r="H73" s="9">
        <v>8.6994482529298975E-4</v>
      </c>
      <c r="I73" s="3">
        <f t="shared" si="5"/>
        <v>2</v>
      </c>
      <c r="J73" s="14">
        <f t="shared" si="6"/>
        <v>99</v>
      </c>
      <c r="K73" s="15">
        <f t="shared" si="7"/>
        <v>1.7778918591906712</v>
      </c>
      <c r="L73" s="14">
        <f t="shared" si="8"/>
        <v>2</v>
      </c>
    </row>
    <row r="74" spans="1:12" x14ac:dyDescent="0.3">
      <c r="A74" s="8">
        <v>42257</v>
      </c>
      <c r="B74" s="5">
        <v>1.0335218198180656</v>
      </c>
      <c r="C74" s="5">
        <v>-0.24076185570639028</v>
      </c>
      <c r="D74" s="5">
        <v>0.15379644874464954</v>
      </c>
      <c r="E74" s="5">
        <v>-0.41307162147297216</v>
      </c>
      <c r="F74" s="5">
        <v>1.2696687022658928</v>
      </c>
      <c r="G74" s="5">
        <v>-0.21102963474830014</v>
      </c>
      <c r="H74" s="9">
        <v>4.0158485811957693E-3</v>
      </c>
      <c r="I74" s="3">
        <f t="shared" si="5"/>
        <v>3</v>
      </c>
      <c r="J74" s="14">
        <f t="shared" si="6"/>
        <v>173</v>
      </c>
      <c r="K74" s="15">
        <f t="shared" si="7"/>
        <v>2.3101852999057781</v>
      </c>
      <c r="L74" s="14">
        <f t="shared" si="8"/>
        <v>3</v>
      </c>
    </row>
    <row r="75" spans="1:12" x14ac:dyDescent="0.3">
      <c r="A75" s="8">
        <v>42258</v>
      </c>
      <c r="B75" s="5">
        <v>0.77454420444659378</v>
      </c>
      <c r="C75" s="5">
        <v>-0.37918151586786236</v>
      </c>
      <c r="D75" s="5">
        <v>5.6477135130150957E-2</v>
      </c>
      <c r="E75" s="5">
        <v>-0.64619641207763301</v>
      </c>
      <c r="F75" s="5">
        <v>1.2054262236817881</v>
      </c>
      <c r="G75" s="5">
        <v>0.17947989549609969</v>
      </c>
      <c r="H75" s="9">
        <v>1.3019780442271056E-2</v>
      </c>
      <c r="I75" s="3">
        <f t="shared" si="5"/>
        <v>3</v>
      </c>
      <c r="J75" s="14">
        <f t="shared" si="6"/>
        <v>178</v>
      </c>
      <c r="K75" s="15">
        <f t="shared" si="7"/>
        <v>2.3655383346306742</v>
      </c>
      <c r="L75" s="14">
        <f t="shared" si="8"/>
        <v>3</v>
      </c>
    </row>
    <row r="76" spans="1:12" x14ac:dyDescent="0.3">
      <c r="A76" s="8">
        <v>42261</v>
      </c>
      <c r="B76" s="5">
        <v>0.68013857125699306</v>
      </c>
      <c r="C76" s="5">
        <v>-0.55220609106970242</v>
      </c>
      <c r="D76" s="5">
        <v>5.876902525324512E-3</v>
      </c>
      <c r="E76" s="5">
        <v>-0.45465799828714387</v>
      </c>
      <c r="F76" s="5">
        <v>1.0025870595182476</v>
      </c>
      <c r="G76" s="5">
        <v>0.13270375795351169</v>
      </c>
      <c r="H76" s="9">
        <v>4.5736381807319759E-3</v>
      </c>
      <c r="I76" s="3">
        <f t="shared" si="5"/>
        <v>3</v>
      </c>
      <c r="J76" s="14">
        <f t="shared" si="6"/>
        <v>133</v>
      </c>
      <c r="K76" s="15">
        <f t="shared" si="7"/>
        <v>2.0565028769299003</v>
      </c>
      <c r="L76" s="14">
        <f t="shared" si="8"/>
        <v>3</v>
      </c>
    </row>
    <row r="77" spans="1:12" x14ac:dyDescent="0.3">
      <c r="A77" s="8">
        <v>42262</v>
      </c>
      <c r="B77" s="5">
        <v>0.46708802068046201</v>
      </c>
      <c r="C77" s="5">
        <v>-0.81174295387246254</v>
      </c>
      <c r="D77" s="5">
        <v>0.10945475210691694</v>
      </c>
      <c r="E77" s="5">
        <v>-0.69070900671061308</v>
      </c>
      <c r="F77" s="5">
        <v>1.2462281294376745</v>
      </c>
      <c r="G77" s="5">
        <v>0.21759589551557754</v>
      </c>
      <c r="H77" s="9">
        <v>3.8801922499793308E-3</v>
      </c>
      <c r="I77" s="3">
        <f t="shared" si="5"/>
        <v>3</v>
      </c>
      <c r="J77" s="14">
        <f t="shared" si="6"/>
        <v>180</v>
      </c>
      <c r="K77" s="15">
        <f t="shared" si="7"/>
        <v>2.3938763103865455</v>
      </c>
      <c r="L77" s="14">
        <f t="shared" si="8"/>
        <v>3</v>
      </c>
    </row>
    <row r="78" spans="1:12" x14ac:dyDescent="0.3">
      <c r="A78" s="8">
        <v>42263</v>
      </c>
      <c r="B78" s="5">
        <v>0.34844310329353156</v>
      </c>
      <c r="C78" s="5">
        <v>-0.37918151586786236</v>
      </c>
      <c r="D78" s="5">
        <v>0.28210564280817396</v>
      </c>
      <c r="E78" s="5">
        <v>-0.48707500506112938</v>
      </c>
      <c r="F78" s="5">
        <v>1.218599759050226</v>
      </c>
      <c r="G78" s="5">
        <v>-1.3196769475305991E-2</v>
      </c>
      <c r="H78" s="9">
        <v>-3.6794730279432033E-3</v>
      </c>
      <c r="I78" s="3">
        <f t="shared" si="5"/>
        <v>1</v>
      </c>
      <c r="J78" s="14">
        <f t="shared" si="6"/>
        <v>162</v>
      </c>
      <c r="K78" s="15">
        <f t="shared" si="7"/>
        <v>2.2615480603058487</v>
      </c>
      <c r="L78" s="14">
        <f t="shared" si="8"/>
        <v>1</v>
      </c>
    </row>
    <row r="79" spans="1:12" x14ac:dyDescent="0.3">
      <c r="A79" s="8">
        <v>42264</v>
      </c>
      <c r="B79" s="5">
        <v>0.36502787669170467</v>
      </c>
      <c r="C79" s="5">
        <v>-0.51760117602933442</v>
      </c>
      <c r="D79" s="5">
        <v>0.10081883176788353</v>
      </c>
      <c r="E79" s="5">
        <v>-0.1946984601850025</v>
      </c>
      <c r="F79" s="5">
        <v>0.99317422182551507</v>
      </c>
      <c r="G79" s="5">
        <v>-0.18287279288039879</v>
      </c>
      <c r="H79" s="9">
        <v>-5.4317836988079906E-3</v>
      </c>
      <c r="I79" s="3">
        <f t="shared" si="5"/>
        <v>1</v>
      </c>
      <c r="J79" s="14">
        <f t="shared" si="6"/>
        <v>106</v>
      </c>
      <c r="K79" s="15">
        <f t="shared" si="7"/>
        <v>1.8563780372418279</v>
      </c>
      <c r="L79" s="14">
        <f t="shared" si="8"/>
        <v>1</v>
      </c>
    </row>
    <row r="80" spans="1:12" x14ac:dyDescent="0.3">
      <c r="A80" s="8">
        <v>42265</v>
      </c>
      <c r="B80" s="5">
        <v>0.69608546875523647</v>
      </c>
      <c r="C80" s="5">
        <v>0.15719466725784192</v>
      </c>
      <c r="D80" s="5">
        <v>0.57568806144110174</v>
      </c>
      <c r="E80" s="5">
        <v>8.1022751168447107E-2</v>
      </c>
      <c r="F80" s="5">
        <v>1.0617376200104673</v>
      </c>
      <c r="G80" s="5">
        <v>-0.62977007382625927</v>
      </c>
      <c r="H80" s="9">
        <v>-1.3558622259009567E-2</v>
      </c>
      <c r="I80" s="3">
        <f t="shared" si="5"/>
        <v>1</v>
      </c>
      <c r="J80" s="14">
        <f t="shared" si="6"/>
        <v>145</v>
      </c>
      <c r="K80" s="15">
        <f t="shared" si="7"/>
        <v>2.1150155617496735</v>
      </c>
      <c r="L80" s="14">
        <f t="shared" si="8"/>
        <v>1</v>
      </c>
    </row>
    <row r="81" spans="1:12" x14ac:dyDescent="0.3">
      <c r="A81" s="8">
        <v>42268</v>
      </c>
      <c r="B81" s="5">
        <v>0.71267024215340957</v>
      </c>
      <c r="C81" s="5">
        <v>0.31291678493949798</v>
      </c>
      <c r="D81" s="5">
        <v>0.65401898920708834</v>
      </c>
      <c r="E81" s="5">
        <v>-0.15924300848836237</v>
      </c>
      <c r="F81" s="5">
        <v>1.0381195511267582</v>
      </c>
      <c r="G81" s="5">
        <v>-0.2769036545129045</v>
      </c>
      <c r="H81" s="9">
        <v>-2.8021474139197978E-3</v>
      </c>
      <c r="I81" s="3">
        <f t="shared" si="5"/>
        <v>1</v>
      </c>
      <c r="J81" s="14">
        <f t="shared" si="6"/>
        <v>164</v>
      </c>
      <c r="K81" s="15">
        <f t="shared" si="7"/>
        <v>2.267378338001508</v>
      </c>
      <c r="L81" s="14">
        <f t="shared" si="8"/>
        <v>1</v>
      </c>
    </row>
    <row r="82" spans="1:12" x14ac:dyDescent="0.3">
      <c r="A82" s="8">
        <v>42269</v>
      </c>
      <c r="B82" s="5">
        <v>0.71904900115270687</v>
      </c>
      <c r="C82" s="5">
        <v>0.3994290725404181</v>
      </c>
      <c r="D82" s="5">
        <v>0.69027103196646578</v>
      </c>
      <c r="E82" s="5">
        <v>-0.24847186916500635</v>
      </c>
      <c r="F82" s="5">
        <v>1.0085609111358507</v>
      </c>
      <c r="G82" s="5">
        <v>-0.11795024875155716</v>
      </c>
      <c r="H82" s="9">
        <v>-1.9306863401286733E-3</v>
      </c>
      <c r="I82" s="3">
        <f t="shared" si="5"/>
        <v>2</v>
      </c>
      <c r="J82" s="14">
        <f t="shared" si="6"/>
        <v>175</v>
      </c>
      <c r="K82" s="15">
        <f t="shared" si="7"/>
        <v>2.3500014529770712</v>
      </c>
      <c r="L82" s="14">
        <f t="shared" si="8"/>
        <v>2</v>
      </c>
    </row>
    <row r="83" spans="1:12" x14ac:dyDescent="0.3">
      <c r="A83" s="8">
        <v>42270</v>
      </c>
      <c r="B83" s="5">
        <v>0.50089544337673786</v>
      </c>
      <c r="C83" s="5">
        <v>0.10528729469728988</v>
      </c>
      <c r="D83" s="5">
        <v>0.39133029175857276</v>
      </c>
      <c r="E83" s="5">
        <v>-0.37423688698273672</v>
      </c>
      <c r="F83" s="5">
        <v>0.77444916069557157</v>
      </c>
      <c r="G83" s="5">
        <v>0.27535103635226632</v>
      </c>
      <c r="H83" s="9">
        <v>-2.133353560838813E-3</v>
      </c>
      <c r="I83" s="3">
        <f t="shared" si="5"/>
        <v>1</v>
      </c>
      <c r="J83" s="14">
        <f t="shared" si="6"/>
        <v>143</v>
      </c>
      <c r="K83" s="15">
        <f t="shared" si="7"/>
        <v>2.104933465238362</v>
      </c>
      <c r="L83" s="14">
        <f t="shared" si="8"/>
        <v>1</v>
      </c>
    </row>
    <row r="84" spans="1:12" x14ac:dyDescent="0.3">
      <c r="A84" s="8">
        <v>42271</v>
      </c>
      <c r="B84" s="5">
        <v>0.24638295930477411</v>
      </c>
      <c r="C84" s="5">
        <v>5.3379922136737923E-2</v>
      </c>
      <c r="D84" s="5">
        <v>0.10236351782710415</v>
      </c>
      <c r="E84" s="5">
        <v>-0.40631721244518315</v>
      </c>
      <c r="F84" s="5">
        <v>0.67676531590670364</v>
      </c>
      <c r="G84" s="5">
        <v>0.41517237513821648</v>
      </c>
      <c r="H84" s="9">
        <v>-1.9634249610831489E-3</v>
      </c>
      <c r="I84" s="3">
        <f t="shared" si="5"/>
        <v>2</v>
      </c>
      <c r="J84" s="14">
        <f t="shared" si="6"/>
        <v>132</v>
      </c>
      <c r="K84" s="15">
        <f t="shared" si="7"/>
        <v>2.0500252121921725</v>
      </c>
      <c r="L84" s="14">
        <f t="shared" si="8"/>
        <v>2</v>
      </c>
    </row>
    <row r="85" spans="1:12" x14ac:dyDescent="0.3">
      <c r="A85" s="8">
        <v>42272</v>
      </c>
      <c r="B85" s="5">
        <v>-0.26710714013866149</v>
      </c>
      <c r="C85" s="5">
        <v>-0.65602083619080642</v>
      </c>
      <c r="D85" s="5">
        <v>-0.36229032443725501</v>
      </c>
      <c r="E85" s="5">
        <v>-0.89569389016565437</v>
      </c>
      <c r="F85" s="5">
        <v>0.82958941968405253</v>
      </c>
      <c r="G85" s="5">
        <v>0.91635504445262494</v>
      </c>
      <c r="H85" s="9">
        <v>6.8941867822712053E-3</v>
      </c>
      <c r="I85" s="3">
        <f t="shared" si="5"/>
        <v>3</v>
      </c>
      <c r="J85" s="14">
        <f t="shared" si="6"/>
        <v>194</v>
      </c>
      <c r="K85" s="15">
        <f t="shared" si="7"/>
        <v>2.6253910719168223</v>
      </c>
      <c r="L85" s="14">
        <f t="shared" si="8"/>
        <v>3</v>
      </c>
    </row>
    <row r="86" spans="1:12" x14ac:dyDescent="0.3">
      <c r="A86" s="8">
        <v>42277</v>
      </c>
      <c r="B86" s="5">
        <v>-0.36725365642762969</v>
      </c>
      <c r="C86" s="5">
        <v>-0.29266922826694236</v>
      </c>
      <c r="D86" s="5">
        <v>0.15651345945543754</v>
      </c>
      <c r="E86" s="5">
        <v>-0.56097031810484188</v>
      </c>
      <c r="F86" s="5">
        <v>0.75196262916561474</v>
      </c>
      <c r="G86" s="5">
        <v>0.53571351301745318</v>
      </c>
      <c r="H86" s="9">
        <v>1.9638405235842881E-2</v>
      </c>
      <c r="I86" s="3">
        <f t="shared" si="5"/>
        <v>3</v>
      </c>
      <c r="J86" s="14">
        <f t="shared" si="6"/>
        <v>169</v>
      </c>
      <c r="K86" s="15">
        <f t="shared" si="7"/>
        <v>2.2884374506334715</v>
      </c>
      <c r="L86" s="14">
        <f t="shared" si="8"/>
        <v>3</v>
      </c>
    </row>
    <row r="87" spans="1:12" x14ac:dyDescent="0.3">
      <c r="A87" s="8">
        <v>42278</v>
      </c>
      <c r="B87" s="5">
        <v>-0.43359275002032199</v>
      </c>
      <c r="C87" s="5">
        <v>-0.22345939818620625</v>
      </c>
      <c r="D87" s="5">
        <v>0.1368028561514226</v>
      </c>
      <c r="E87" s="5">
        <v>-0.27617118101804389</v>
      </c>
      <c r="F87" s="5">
        <v>0.57036752414359726</v>
      </c>
      <c r="G87" s="5">
        <v>0.32508985252118144</v>
      </c>
      <c r="H87" s="9">
        <v>2.2653139032988177E-2</v>
      </c>
      <c r="I87" s="3">
        <f t="shared" si="5"/>
        <v>3</v>
      </c>
      <c r="J87" s="14">
        <f t="shared" si="6"/>
        <v>121</v>
      </c>
      <c r="K87" s="15">
        <f t="shared" si="7"/>
        <v>1.9921621943690768</v>
      </c>
      <c r="L87" s="14">
        <f t="shared" si="8"/>
        <v>3</v>
      </c>
    </row>
    <row r="88" spans="1:12" x14ac:dyDescent="0.3">
      <c r="A88" s="8">
        <v>42279</v>
      </c>
      <c r="B88" s="5">
        <v>-0.4954667123135062</v>
      </c>
      <c r="C88" s="5">
        <v>-0.18885448314583822</v>
      </c>
      <c r="D88" s="5">
        <v>0.29363043296921976</v>
      </c>
      <c r="E88" s="5">
        <v>-0.34576445508098003</v>
      </c>
      <c r="F88" s="5">
        <v>0.58963139291605415</v>
      </c>
      <c r="G88" s="5">
        <v>0.39888334015231408</v>
      </c>
      <c r="H88" s="9">
        <v>2.3735258326719588E-2</v>
      </c>
      <c r="I88" s="3">
        <f t="shared" si="5"/>
        <v>3</v>
      </c>
      <c r="J88" s="14">
        <f t="shared" si="6"/>
        <v>149</v>
      </c>
      <c r="K88" s="15">
        <f t="shared" si="7"/>
        <v>2.1279674176264463</v>
      </c>
      <c r="L88" s="14">
        <f t="shared" si="8"/>
        <v>3</v>
      </c>
    </row>
    <row r="89" spans="1:12" x14ac:dyDescent="0.3">
      <c r="A89" s="8">
        <v>42282</v>
      </c>
      <c r="B89" s="5">
        <v>-0.52927413500978204</v>
      </c>
      <c r="C89" s="5">
        <v>-8.5039738024734218E-2</v>
      </c>
      <c r="D89" s="5">
        <v>0.51707592074633102</v>
      </c>
      <c r="E89" s="5">
        <v>-0.41666288879605506</v>
      </c>
      <c r="F89" s="5">
        <v>0.61559019103154466</v>
      </c>
      <c r="G89" s="5">
        <v>0.46864302688452442</v>
      </c>
      <c r="H89" s="9">
        <v>2.3177573553164875E-2</v>
      </c>
      <c r="I89" s="3">
        <f t="shared" si="5"/>
        <v>3</v>
      </c>
      <c r="J89" s="14">
        <f t="shared" si="6"/>
        <v>170</v>
      </c>
      <c r="K89" s="15">
        <f t="shared" si="7"/>
        <v>2.2998409276977263</v>
      </c>
      <c r="L89" s="14">
        <f t="shared" si="8"/>
        <v>3</v>
      </c>
    </row>
    <row r="90" spans="1:12" x14ac:dyDescent="0.3">
      <c r="A90" s="8">
        <v>42283</v>
      </c>
      <c r="B90" s="5">
        <v>-0.22118007534372061</v>
      </c>
      <c r="C90" s="5">
        <v>0.12258975221747388</v>
      </c>
      <c r="D90" s="5">
        <v>0.8727158460657215</v>
      </c>
      <c r="E90" s="5">
        <v>-0.22532398985684826</v>
      </c>
      <c r="F90" s="5">
        <v>0.80609892609022737</v>
      </c>
      <c r="G90" s="5">
        <v>-1.332211357103521E-2</v>
      </c>
      <c r="H90" s="9">
        <v>1.7141462494196347E-2</v>
      </c>
      <c r="I90" s="3">
        <f t="shared" si="5"/>
        <v>3</v>
      </c>
      <c r="J90" s="14">
        <f t="shared" si="6"/>
        <v>165</v>
      </c>
      <c r="K90" s="15">
        <f t="shared" si="7"/>
        <v>2.2703590113310996</v>
      </c>
      <c r="L90" s="14">
        <f t="shared" si="8"/>
        <v>3</v>
      </c>
    </row>
    <row r="91" spans="1:12" x14ac:dyDescent="0.3">
      <c r="A91" s="8">
        <v>42284</v>
      </c>
      <c r="B91" s="5">
        <v>0.52641047937392726</v>
      </c>
      <c r="C91" s="5">
        <v>0.50324381766152193</v>
      </c>
      <c r="D91" s="5">
        <v>1.5694940612240313</v>
      </c>
      <c r="E91" s="5">
        <v>0.35515200027103921</v>
      </c>
      <c r="F91" s="5">
        <v>1.2546370050665383</v>
      </c>
      <c r="G91" s="5">
        <v>-1.2593392819207747</v>
      </c>
      <c r="H91" s="9">
        <v>2.8571914494953886E-3</v>
      </c>
      <c r="I91" s="3">
        <f t="shared" si="5"/>
        <v>3</v>
      </c>
      <c r="J91" s="14">
        <f t="shared" si="6"/>
        <v>204</v>
      </c>
      <c r="K91" s="15">
        <f t="shared" si="7"/>
        <v>2.9388774012945134</v>
      </c>
      <c r="L91" s="14">
        <f t="shared" si="8"/>
        <v>3</v>
      </c>
    </row>
    <row r="92" spans="1:12" x14ac:dyDescent="0.3">
      <c r="A92" s="8">
        <v>42285</v>
      </c>
      <c r="B92" s="5">
        <v>1.3224796024862351</v>
      </c>
      <c r="C92" s="5">
        <v>0.58975610526244204</v>
      </c>
      <c r="D92" s="5">
        <v>2.2439101325051474</v>
      </c>
      <c r="E92" s="5">
        <v>1.0122749457665754</v>
      </c>
      <c r="F92" s="5">
        <v>0.98198642357787735</v>
      </c>
      <c r="G92" s="5">
        <v>-1.8673948852210374</v>
      </c>
      <c r="H92" s="9">
        <v>-7.8895565820360505E-4</v>
      </c>
      <c r="I92" s="3">
        <f t="shared" si="5"/>
        <v>2</v>
      </c>
      <c r="J92" s="14">
        <f t="shared" si="6"/>
        <v>216</v>
      </c>
      <c r="K92" s="15">
        <f t="shared" si="7"/>
        <v>3.5771310156223892</v>
      </c>
      <c r="L92" s="14">
        <f t="shared" si="8"/>
        <v>2</v>
      </c>
    </row>
    <row r="93" spans="1:12" x14ac:dyDescent="0.3">
      <c r="A93" s="8">
        <v>42289</v>
      </c>
      <c r="B93" s="5">
        <v>2.0471066248064123</v>
      </c>
      <c r="C93" s="5">
        <v>0.50324381766152204</v>
      </c>
      <c r="D93" s="5">
        <v>2.4580629526253315</v>
      </c>
      <c r="E93" s="5">
        <v>1.2726376701306834</v>
      </c>
      <c r="F93" s="5">
        <v>0.94445710134509775</v>
      </c>
      <c r="G93" s="5">
        <v>-2.1799631777574464</v>
      </c>
      <c r="H93" s="9">
        <v>-6.3593058347599651E-4</v>
      </c>
      <c r="I93" s="3">
        <f t="shared" si="5"/>
        <v>2</v>
      </c>
      <c r="J93" s="14">
        <f t="shared" si="6"/>
        <v>220</v>
      </c>
      <c r="K93" s="15">
        <f t="shared" si="7"/>
        <v>4.0651347974433483</v>
      </c>
      <c r="L93" s="14">
        <f t="shared" si="8"/>
        <v>2</v>
      </c>
    </row>
    <row r="94" spans="1:12" x14ac:dyDescent="0.3">
      <c r="A94" s="8">
        <v>42290</v>
      </c>
      <c r="B94" s="5">
        <v>2.6390554599412055</v>
      </c>
      <c r="C94" s="5">
        <v>0.64166347782299404</v>
      </c>
      <c r="D94" s="5">
        <v>2.368174499629494</v>
      </c>
      <c r="E94" s="5">
        <v>1.3694730345124682</v>
      </c>
      <c r="F94" s="5">
        <v>1.0177685190144219</v>
      </c>
      <c r="G94" s="5">
        <v>-2.3844905572341606</v>
      </c>
      <c r="H94" s="9">
        <v>2.2240102088154855E-3</v>
      </c>
      <c r="I94" s="3">
        <f t="shared" si="5"/>
        <v>3</v>
      </c>
      <c r="J94" s="14">
        <f t="shared" si="6"/>
        <v>222</v>
      </c>
      <c r="K94" s="15">
        <f t="shared" si="7"/>
        <v>4.445038287341613</v>
      </c>
      <c r="L94" s="14">
        <f t="shared" si="8"/>
        <v>3</v>
      </c>
    </row>
    <row r="95" spans="1:12" x14ac:dyDescent="0.3">
      <c r="A95" s="8">
        <v>42291</v>
      </c>
      <c r="B95" s="5">
        <v>2.898670951212607</v>
      </c>
      <c r="C95" s="5">
        <v>0.55515119022207404</v>
      </c>
      <c r="D95" s="5">
        <v>1.9427495454439374</v>
      </c>
      <c r="E95" s="5">
        <v>1.3452693891162741</v>
      </c>
      <c r="F95" s="5">
        <v>0.87236042230553679</v>
      </c>
      <c r="G95" s="5">
        <v>-2.1693431143738429</v>
      </c>
      <c r="H95" s="9">
        <v>2.5356916519545082E-3</v>
      </c>
      <c r="I95" s="3">
        <f t="shared" si="5"/>
        <v>3</v>
      </c>
      <c r="J95" s="14">
        <f t="shared" si="6"/>
        <v>221</v>
      </c>
      <c r="K95" s="15">
        <f t="shared" si="7"/>
        <v>4.1828007928640059</v>
      </c>
      <c r="L95" s="14">
        <f t="shared" si="8"/>
        <v>3</v>
      </c>
    </row>
    <row r="96" spans="1:12" x14ac:dyDescent="0.3">
      <c r="A96" s="8">
        <v>42292</v>
      </c>
      <c r="B96" s="5">
        <v>2.5944041469461241</v>
      </c>
      <c r="C96" s="5">
        <v>8.7984837177105854E-2</v>
      </c>
      <c r="D96" s="5">
        <v>0.81543765942474145</v>
      </c>
      <c r="E96" s="5">
        <v>0.53328966655039511</v>
      </c>
      <c r="F96" s="5">
        <v>0.85944758426860057</v>
      </c>
      <c r="G96" s="5">
        <v>-1.0545327269581182</v>
      </c>
      <c r="H96" s="9">
        <v>1.7261778398548699E-3</v>
      </c>
      <c r="I96" s="3">
        <f t="shared" si="5"/>
        <v>2</v>
      </c>
      <c r="J96" s="14">
        <f t="shared" si="6"/>
        <v>203</v>
      </c>
      <c r="K96" s="15">
        <f t="shared" si="7"/>
        <v>2.933039816850759</v>
      </c>
      <c r="L96" s="14">
        <f t="shared" si="8"/>
        <v>2</v>
      </c>
    </row>
    <row r="97" spans="1:12" x14ac:dyDescent="0.3">
      <c r="A97" s="8">
        <v>42293</v>
      </c>
      <c r="B97" s="5">
        <v>2.139598630296224</v>
      </c>
      <c r="C97" s="5">
        <v>-0.24076185570639025</v>
      </c>
      <c r="D97" s="5">
        <v>-5.758412023613859E-2</v>
      </c>
      <c r="E97" s="5">
        <v>-0.22422665817479515</v>
      </c>
      <c r="F97" s="5">
        <v>1.2385736120446449</v>
      </c>
      <c r="G97" s="5">
        <v>-0.41806389613959877</v>
      </c>
      <c r="H97" s="9">
        <v>3.7589203555135954E-3</v>
      </c>
      <c r="I97" s="3">
        <f t="shared" si="5"/>
        <v>3</v>
      </c>
      <c r="J97" s="14">
        <f t="shared" si="6"/>
        <v>197</v>
      </c>
      <c r="K97" s="15">
        <f t="shared" si="7"/>
        <v>2.6815211737701601</v>
      </c>
      <c r="L97" s="14">
        <f t="shared" si="8"/>
        <v>3</v>
      </c>
    </row>
    <row r="98" spans="1:12" x14ac:dyDescent="0.3">
      <c r="A98" s="8">
        <v>42296</v>
      </c>
      <c r="B98" s="5">
        <v>1.6860688654461833</v>
      </c>
      <c r="C98" s="5">
        <v>-0.24076185570639028</v>
      </c>
      <c r="D98" s="5">
        <v>-0.59342446149986428</v>
      </c>
      <c r="E98" s="5">
        <v>-0.27500734438556329</v>
      </c>
      <c r="F98" s="5">
        <v>1.1680688507527648</v>
      </c>
      <c r="G98" s="5">
        <v>-0.28081211131609762</v>
      </c>
      <c r="H98" s="9">
        <v>5.6518674628808444E-3</v>
      </c>
      <c r="I98" s="3">
        <f t="shared" si="5"/>
        <v>3</v>
      </c>
      <c r="J98" s="14">
        <f t="shared" si="6"/>
        <v>184</v>
      </c>
      <c r="K98" s="15">
        <f t="shared" si="7"/>
        <v>2.4391732819164291</v>
      </c>
      <c r="L98" s="14">
        <f t="shared" si="8"/>
        <v>3</v>
      </c>
    </row>
    <row r="99" spans="1:12" x14ac:dyDescent="0.3">
      <c r="A99" s="8">
        <v>42297</v>
      </c>
      <c r="B99" s="5">
        <v>1.3314098650852513</v>
      </c>
      <c r="C99" s="5">
        <v>-0.36187905834767836</v>
      </c>
      <c r="D99" s="5">
        <v>-0.69091972610918795</v>
      </c>
      <c r="E99" s="5">
        <v>-0.21231811548887794</v>
      </c>
      <c r="F99" s="5">
        <v>1.0965601273970162</v>
      </c>
      <c r="G99" s="5">
        <v>-0.29218423927407638</v>
      </c>
      <c r="H99" s="9">
        <v>4.9924589119825667E-3</v>
      </c>
      <c r="I99" s="3">
        <f t="shared" si="5"/>
        <v>3</v>
      </c>
      <c r="J99" s="14">
        <f t="shared" si="6"/>
        <v>156</v>
      </c>
      <c r="K99" s="15">
        <f t="shared" si="7"/>
        <v>2.2013014417855907</v>
      </c>
      <c r="L99" s="14">
        <f t="shared" si="8"/>
        <v>3</v>
      </c>
    </row>
    <row r="100" spans="1:12" x14ac:dyDescent="0.3">
      <c r="A100" s="8">
        <v>42298</v>
      </c>
      <c r="B100" s="5">
        <v>1.004179528421298</v>
      </c>
      <c r="C100" s="5">
        <v>-0.36187905834767836</v>
      </c>
      <c r="D100" s="5">
        <v>-0.76351792495075599</v>
      </c>
      <c r="E100" s="5">
        <v>-0.11447686373187775</v>
      </c>
      <c r="F100" s="5">
        <v>1.0355347648186775</v>
      </c>
      <c r="G100" s="5">
        <v>-0.35699283422498229</v>
      </c>
      <c r="H100" s="9">
        <v>5.8964705129010749E-3</v>
      </c>
      <c r="I100" s="3">
        <f t="shared" si="5"/>
        <v>3</v>
      </c>
      <c r="J100" s="14">
        <f t="shared" si="6"/>
        <v>128</v>
      </c>
      <c r="K100" s="15">
        <f t="shared" si="7"/>
        <v>2.0242242670233352</v>
      </c>
      <c r="L100" s="14">
        <f t="shared" si="8"/>
        <v>3</v>
      </c>
    </row>
    <row r="101" spans="1:12" x14ac:dyDescent="0.3">
      <c r="A101" s="8">
        <v>42299</v>
      </c>
      <c r="B101" s="5">
        <v>0.71267024215340946</v>
      </c>
      <c r="C101" s="5">
        <v>-0.58681100611007042</v>
      </c>
      <c r="D101" s="5">
        <v>-0.79999706724996567</v>
      </c>
      <c r="E101" s="5">
        <v>-0.19040057776362784</v>
      </c>
      <c r="F101" s="5">
        <v>1.0566235149116463</v>
      </c>
      <c r="G101" s="5">
        <v>-0.24849042699464796</v>
      </c>
      <c r="H101" s="9">
        <v>6.9104763013321246E-3</v>
      </c>
      <c r="I101" s="3">
        <f t="shared" si="5"/>
        <v>3</v>
      </c>
      <c r="J101" s="14">
        <f t="shared" si="6"/>
        <v>122</v>
      </c>
      <c r="K101" s="15">
        <f t="shared" si="7"/>
        <v>2.0069063706072967</v>
      </c>
      <c r="L101" s="14">
        <f t="shared" si="8"/>
        <v>3</v>
      </c>
    </row>
    <row r="102" spans="1:12" x14ac:dyDescent="0.3">
      <c r="A102" s="8">
        <v>42300</v>
      </c>
      <c r="B102" s="5">
        <v>0.57552692366851677</v>
      </c>
      <c r="C102" s="5">
        <v>-0.37918151586786236</v>
      </c>
      <c r="D102" s="5">
        <v>-0.55631926100976503</v>
      </c>
      <c r="E102" s="5">
        <v>-0.21218926214742476</v>
      </c>
      <c r="F102" s="5">
        <v>1.210340645718182</v>
      </c>
      <c r="G102" s="5">
        <v>-0.38907522527276706</v>
      </c>
      <c r="H102" s="9">
        <v>1.2480561069328645E-2</v>
      </c>
      <c r="I102" s="3">
        <f t="shared" si="5"/>
        <v>3</v>
      </c>
      <c r="J102" s="14">
        <f t="shared" si="6"/>
        <v>138</v>
      </c>
      <c r="K102" s="15">
        <f t="shared" si="7"/>
        <v>2.0870167257195336</v>
      </c>
      <c r="L102" s="14">
        <f t="shared" si="8"/>
        <v>3</v>
      </c>
    </row>
    <row r="103" spans="1:12" x14ac:dyDescent="0.3">
      <c r="A103" s="8">
        <v>42303</v>
      </c>
      <c r="B103" s="5">
        <v>0.58190568266781428</v>
      </c>
      <c r="C103" s="5">
        <v>-0.20615694066602228</v>
      </c>
      <c r="D103" s="5">
        <v>-0.48451693352851066</v>
      </c>
      <c r="E103" s="5">
        <v>-0.15866109017212215</v>
      </c>
      <c r="F103" s="5">
        <v>1.1524769316282684</v>
      </c>
      <c r="G103" s="5">
        <v>-0.40715326235225929</v>
      </c>
      <c r="H103" s="9">
        <v>1.3612729464442096E-2</v>
      </c>
      <c r="I103" s="3">
        <f t="shared" si="5"/>
        <v>3</v>
      </c>
      <c r="J103" s="14">
        <f t="shared" si="6"/>
        <v>130</v>
      </c>
      <c r="K103" s="15">
        <f t="shared" si="7"/>
        <v>2.0378500273050681</v>
      </c>
      <c r="L103" s="14">
        <f t="shared" si="8"/>
        <v>3</v>
      </c>
    </row>
    <row r="104" spans="1:12" x14ac:dyDescent="0.3">
      <c r="A104" s="8">
        <v>42304</v>
      </c>
      <c r="B104" s="5">
        <v>0.62974637516254417</v>
      </c>
      <c r="C104" s="5">
        <v>-0.18885448314583825</v>
      </c>
      <c r="D104" s="5">
        <v>-0.52156075576460104</v>
      </c>
      <c r="E104" s="5">
        <v>-0.1303715468840409</v>
      </c>
      <c r="F104" s="5">
        <v>1.1282043460399378</v>
      </c>
      <c r="G104" s="5">
        <v>-0.4183202817899539</v>
      </c>
      <c r="H104" s="9">
        <v>8.1520718677747794E-3</v>
      </c>
      <c r="I104" s="3">
        <f t="shared" si="5"/>
        <v>3</v>
      </c>
      <c r="J104" s="14">
        <f t="shared" si="6"/>
        <v>125</v>
      </c>
      <c r="K104" s="15">
        <f t="shared" si="7"/>
        <v>2.0200313710749458</v>
      </c>
      <c r="L104" s="14">
        <f t="shared" si="8"/>
        <v>3</v>
      </c>
    </row>
    <row r="105" spans="1:12" x14ac:dyDescent="0.3">
      <c r="A105" s="8">
        <v>42305</v>
      </c>
      <c r="B105" s="5">
        <v>0.75732155514849098</v>
      </c>
      <c r="C105" s="5">
        <v>-0.29266922826694231</v>
      </c>
      <c r="D105" s="5">
        <v>-0.2520365667613092</v>
      </c>
      <c r="E105" s="5">
        <v>-0.42102311960845551</v>
      </c>
      <c r="F105" s="5">
        <v>1.4846607994788008</v>
      </c>
      <c r="G105" s="5">
        <v>-0.3979689586106453</v>
      </c>
      <c r="H105" s="9">
        <v>3.3359378397314287E-3</v>
      </c>
      <c r="I105" s="3">
        <f t="shared" si="5"/>
        <v>3</v>
      </c>
      <c r="J105" s="14">
        <f t="shared" si="6"/>
        <v>181</v>
      </c>
      <c r="K105" s="15">
        <f t="shared" si="7"/>
        <v>2.4098365981864727</v>
      </c>
      <c r="L105" s="14">
        <f t="shared" si="8"/>
        <v>3</v>
      </c>
    </row>
    <row r="106" spans="1:12" x14ac:dyDescent="0.3">
      <c r="A106" s="8">
        <v>42306</v>
      </c>
      <c r="B106" s="5">
        <v>0.91232539883141628</v>
      </c>
      <c r="C106" s="5">
        <v>0.43403398758078593</v>
      </c>
      <c r="D106" s="5">
        <v>0.56592687311190759</v>
      </c>
      <c r="E106" s="5">
        <v>0.19093049486862967</v>
      </c>
      <c r="F106" s="5">
        <v>0.92735646574893171</v>
      </c>
      <c r="G106" s="5">
        <v>-0.64216204692676226</v>
      </c>
      <c r="H106" s="9">
        <v>2.549715822260623E-3</v>
      </c>
      <c r="I106" s="3">
        <f t="shared" si="5"/>
        <v>3</v>
      </c>
      <c r="J106" s="14">
        <f t="shared" si="6"/>
        <v>152</v>
      </c>
      <c r="K106" s="15">
        <f t="shared" si="7"/>
        <v>2.1513966998995429</v>
      </c>
      <c r="L106" s="14">
        <f t="shared" si="8"/>
        <v>3</v>
      </c>
    </row>
    <row r="107" spans="1:12" x14ac:dyDescent="0.3">
      <c r="A107" s="8">
        <v>42307</v>
      </c>
      <c r="B107" s="5">
        <v>1.2535890052938239</v>
      </c>
      <c r="C107" s="5">
        <v>0.90120034062575416</v>
      </c>
      <c r="D107" s="5">
        <v>1.0698709817090779</v>
      </c>
      <c r="E107" s="5">
        <v>0.66048038424291422</v>
      </c>
      <c r="F107" s="5">
        <v>0.52898875620736674</v>
      </c>
      <c r="G107" s="5">
        <v>-0.86464211938723956</v>
      </c>
      <c r="H107" s="9">
        <v>-5.0187135195315594E-3</v>
      </c>
      <c r="I107" s="3">
        <f t="shared" si="5"/>
        <v>1</v>
      </c>
      <c r="J107" s="14">
        <f t="shared" si="6"/>
        <v>189</v>
      </c>
      <c r="K107" s="15">
        <f t="shared" si="7"/>
        <v>2.4833457760125159</v>
      </c>
      <c r="L107" s="14">
        <f t="shared" si="8"/>
        <v>1</v>
      </c>
    </row>
    <row r="108" spans="1:12" x14ac:dyDescent="0.3">
      <c r="A108" s="8">
        <v>42310</v>
      </c>
      <c r="B108" s="5">
        <v>1.5852844732572851</v>
      </c>
      <c r="C108" s="5">
        <v>0.78008313798446616</v>
      </c>
      <c r="D108" s="5">
        <v>1.5494008668033619</v>
      </c>
      <c r="E108" s="5">
        <v>0.90389265936682295</v>
      </c>
      <c r="F108" s="5">
        <v>0.10784608404567271</v>
      </c>
      <c r="G108" s="5">
        <v>-0.8917791161126164</v>
      </c>
      <c r="H108" s="9">
        <v>-5.7209621163327286E-3</v>
      </c>
      <c r="I108" s="3">
        <f t="shared" si="5"/>
        <v>1</v>
      </c>
      <c r="J108" s="14">
        <f t="shared" si="6"/>
        <v>196</v>
      </c>
      <c r="K108" s="15">
        <f t="shared" si="7"/>
        <v>2.6662137565857842</v>
      </c>
      <c r="L108" s="14">
        <f t="shared" si="8"/>
        <v>1</v>
      </c>
    </row>
    <row r="109" spans="1:12" x14ac:dyDescent="0.3">
      <c r="A109" s="8">
        <v>42311</v>
      </c>
      <c r="B109" s="5">
        <v>1.6554508222495561</v>
      </c>
      <c r="C109" s="5">
        <v>1.0050150857468583</v>
      </c>
      <c r="D109" s="5">
        <v>1.8963905501911167</v>
      </c>
      <c r="E109" s="5">
        <v>0.72967462860328547</v>
      </c>
      <c r="F109" s="5">
        <v>-7.8341731412162302E-2</v>
      </c>
      <c r="G109" s="5">
        <v>-0.77707787360258229</v>
      </c>
      <c r="H109" s="9">
        <v>-4.6391904161165341E-3</v>
      </c>
      <c r="I109" s="3">
        <f t="shared" si="5"/>
        <v>1</v>
      </c>
      <c r="J109" s="14">
        <f t="shared" si="6"/>
        <v>206</v>
      </c>
      <c r="K109" s="15">
        <f t="shared" si="7"/>
        <v>2.9854301301724262</v>
      </c>
      <c r="L109" s="14">
        <f t="shared" si="8"/>
        <v>1</v>
      </c>
    </row>
    <row r="110" spans="1:12" x14ac:dyDescent="0.3">
      <c r="A110" s="8">
        <v>42312</v>
      </c>
      <c r="B110" s="5">
        <v>1.5176696278647337</v>
      </c>
      <c r="C110" s="5">
        <v>1.3164593211101703</v>
      </c>
      <c r="D110" s="5">
        <v>1.9163732637545707</v>
      </c>
      <c r="E110" s="5">
        <v>0.96016831710665984</v>
      </c>
      <c r="F110" s="5">
        <v>-0.82467381748771496</v>
      </c>
      <c r="G110" s="5">
        <v>-0.64898760268510824</v>
      </c>
      <c r="H110" s="9">
        <v>4.5061979258171904E-4</v>
      </c>
      <c r="I110" s="3">
        <f t="shared" si="5"/>
        <v>2</v>
      </c>
      <c r="J110" s="14">
        <f t="shared" si="6"/>
        <v>208</v>
      </c>
      <c r="K110" s="15">
        <f t="shared" si="7"/>
        <v>3.106682378633173</v>
      </c>
      <c r="L110" s="14">
        <f t="shared" si="8"/>
        <v>2</v>
      </c>
    </row>
    <row r="111" spans="1:12" x14ac:dyDescent="0.3">
      <c r="A111" s="8">
        <v>42313</v>
      </c>
      <c r="B111" s="5">
        <v>1.3441673830838459</v>
      </c>
      <c r="C111" s="5">
        <v>0.55515119022207404</v>
      </c>
      <c r="D111" s="5">
        <v>0.98050015198871454</v>
      </c>
      <c r="E111" s="5">
        <v>0.64660163240058321</v>
      </c>
      <c r="F111" s="5">
        <v>-0.81209933130655743</v>
      </c>
      <c r="G111" s="5">
        <v>-0.43145292454703854</v>
      </c>
      <c r="H111" s="9">
        <v>-3.7609231576691826E-3</v>
      </c>
      <c r="I111" s="3">
        <f t="shared" si="5"/>
        <v>1</v>
      </c>
      <c r="J111" s="14">
        <f t="shared" si="6"/>
        <v>113</v>
      </c>
      <c r="K111" s="15">
        <f t="shared" si="7"/>
        <v>1.9204506622140012</v>
      </c>
      <c r="L111" s="14">
        <f t="shared" si="8"/>
        <v>1</v>
      </c>
    </row>
    <row r="112" spans="1:12" x14ac:dyDescent="0.3">
      <c r="A112" s="8">
        <v>42314</v>
      </c>
      <c r="B112" s="5">
        <v>0.88234523153471867</v>
      </c>
      <c r="C112" s="5">
        <v>1.8775007096369832E-2</v>
      </c>
      <c r="D112" s="5">
        <v>0.27452133655449079</v>
      </c>
      <c r="E112" s="5">
        <v>0.18655779437802411</v>
      </c>
      <c r="F112" s="5">
        <v>-0.83745908023476745</v>
      </c>
      <c r="G112" s="5">
        <v>-8.4204199705911739E-2</v>
      </c>
      <c r="H112" s="9">
        <v>-5.762339447709053E-3</v>
      </c>
      <c r="I112" s="3">
        <f t="shared" si="5"/>
        <v>1</v>
      </c>
      <c r="J112" s="14">
        <f t="shared" si="6"/>
        <v>37</v>
      </c>
      <c r="K112" s="15">
        <f t="shared" si="7"/>
        <v>1.1381799650927404</v>
      </c>
      <c r="L112" s="14">
        <f t="shared" si="8"/>
        <v>1</v>
      </c>
    </row>
    <row r="113" spans="1:12" x14ac:dyDescent="0.3">
      <c r="A113" s="8">
        <v>42317</v>
      </c>
      <c r="B113" s="5">
        <v>0.43646997748383487</v>
      </c>
      <c r="C113" s="5">
        <v>8.7984837177105882E-2</v>
      </c>
      <c r="D113" s="5">
        <v>-0.13647768199720575</v>
      </c>
      <c r="E113" s="5">
        <v>-8.4873847672854219E-2</v>
      </c>
      <c r="F113" s="5">
        <v>-0.61932197478863638</v>
      </c>
      <c r="G113" s="5">
        <v>-0.12248542603339636</v>
      </c>
      <c r="H113" s="9">
        <v>-1.2432079746520585E-2</v>
      </c>
      <c r="I113" s="3">
        <f t="shared" si="5"/>
        <v>1</v>
      </c>
      <c r="J113" s="14">
        <f t="shared" si="6"/>
        <v>40</v>
      </c>
      <c r="K113" s="15">
        <f t="shared" si="7"/>
        <v>1.1501089747532089</v>
      </c>
      <c r="L113" s="14">
        <f t="shared" si="8"/>
        <v>1</v>
      </c>
    </row>
    <row r="114" spans="1:12" x14ac:dyDescent="0.3">
      <c r="A114" s="8">
        <v>42318</v>
      </c>
      <c r="B114" s="5">
        <v>8.1810977122902903E-2</v>
      </c>
      <c r="C114" s="5">
        <v>1.8775007096369829E-2</v>
      </c>
      <c r="D114" s="5">
        <v>-0.34984690640787791</v>
      </c>
      <c r="E114" s="5">
        <v>1.0943159655510126E-2</v>
      </c>
      <c r="F114" s="5">
        <v>-0.70887428153534437</v>
      </c>
      <c r="G114" s="5">
        <v>-0.17025861888292135</v>
      </c>
      <c r="H114" s="9">
        <v>-7.8744250139376245E-3</v>
      </c>
      <c r="I114" s="3">
        <f t="shared" si="5"/>
        <v>1</v>
      </c>
      <c r="J114" s="14">
        <f t="shared" si="6"/>
        <v>35</v>
      </c>
      <c r="K114" s="15">
        <f t="shared" si="7"/>
        <v>1.1236254268888815</v>
      </c>
      <c r="L114" s="14">
        <f t="shared" si="8"/>
        <v>1</v>
      </c>
    </row>
    <row r="115" spans="1:12" x14ac:dyDescent="0.3">
      <c r="A115" s="8">
        <v>42319</v>
      </c>
      <c r="B115" s="5">
        <v>-3.3644560764378925E-2</v>
      </c>
      <c r="C115" s="5">
        <v>-0.17155202562565425</v>
      </c>
      <c r="D115" s="5">
        <v>-0.63754928830676583</v>
      </c>
      <c r="E115" s="5">
        <v>-1.0471434382132295E-2</v>
      </c>
      <c r="F115" s="5">
        <v>-0.46692497089481161</v>
      </c>
      <c r="G115" s="5">
        <v>-0.26502445271311198</v>
      </c>
      <c r="H115" s="9">
        <v>-7.9582036563948574E-3</v>
      </c>
      <c r="I115" s="3">
        <f t="shared" si="5"/>
        <v>1</v>
      </c>
      <c r="J115" s="14">
        <f t="shared" si="6"/>
        <v>39</v>
      </c>
      <c r="K115" s="15">
        <f t="shared" si="7"/>
        <v>1.1488232891723766</v>
      </c>
      <c r="L115" s="14">
        <f t="shared" si="8"/>
        <v>1</v>
      </c>
    </row>
    <row r="116" spans="1:12" x14ac:dyDescent="0.3">
      <c r="A116" s="8">
        <v>42320</v>
      </c>
      <c r="B116" s="5">
        <v>-0.28305403763690479</v>
      </c>
      <c r="C116" s="5">
        <v>-0.29266922826694231</v>
      </c>
      <c r="D116" s="5">
        <v>-0.66951712893633142</v>
      </c>
      <c r="E116" s="5">
        <v>-0.33323242848480533</v>
      </c>
      <c r="F116" s="5">
        <v>-0.38784493142204512</v>
      </c>
      <c r="G116" s="5">
        <v>-0.14004499435328138</v>
      </c>
      <c r="H116" s="9">
        <v>-4.2979397608185364E-3</v>
      </c>
      <c r="I116" s="3">
        <f t="shared" si="5"/>
        <v>1</v>
      </c>
      <c r="J116" s="14">
        <f t="shared" si="6"/>
        <v>70</v>
      </c>
      <c r="K116" s="15">
        <f t="shared" si="7"/>
        <v>1.4742493638767982</v>
      </c>
      <c r="L116" s="14">
        <f t="shared" si="8"/>
        <v>1</v>
      </c>
    </row>
    <row r="117" spans="1:12" x14ac:dyDescent="0.3">
      <c r="A117" s="8">
        <v>42321</v>
      </c>
      <c r="B117" s="5">
        <v>-0.53820439760879835</v>
      </c>
      <c r="C117" s="5">
        <v>-0.30997168578712631</v>
      </c>
      <c r="D117" s="5">
        <v>-0.64219357619342921</v>
      </c>
      <c r="E117" s="5">
        <v>-0.3397790095425085</v>
      </c>
      <c r="F117" s="5">
        <v>-0.36630134768688161</v>
      </c>
      <c r="G117" s="5">
        <v>-0.15624856745573207</v>
      </c>
      <c r="H117" s="9">
        <v>-2.3211092240615016E-3</v>
      </c>
      <c r="I117" s="3">
        <f t="shared" si="5"/>
        <v>1</v>
      </c>
      <c r="J117" s="14">
        <f t="shared" si="6"/>
        <v>82</v>
      </c>
      <c r="K117" s="15">
        <f t="shared" si="7"/>
        <v>1.6107010502109069</v>
      </c>
      <c r="L117" s="14">
        <f t="shared" si="8"/>
        <v>1</v>
      </c>
    </row>
    <row r="118" spans="1:12" x14ac:dyDescent="0.3">
      <c r="A118" s="8">
        <v>42324</v>
      </c>
      <c r="B118" s="5">
        <v>-0.95792673976256315</v>
      </c>
      <c r="C118" s="5">
        <v>-0.2234593981862063</v>
      </c>
      <c r="D118" s="5">
        <v>-0.45796879272791918</v>
      </c>
      <c r="E118" s="5">
        <v>-0.50652770306116168</v>
      </c>
      <c r="F118" s="5">
        <v>-0.20469118916275136</v>
      </c>
      <c r="G118" s="5">
        <v>-2.9246511187543456E-2</v>
      </c>
      <c r="H118" s="9">
        <v>2.9863030260248282E-3</v>
      </c>
      <c r="I118" s="3">
        <f t="shared" si="5"/>
        <v>3</v>
      </c>
      <c r="J118" s="14">
        <f t="shared" si="6"/>
        <v>127</v>
      </c>
      <c r="K118" s="15">
        <f t="shared" si="7"/>
        <v>2.0235340731369926</v>
      </c>
      <c r="L118" s="14">
        <f t="shared" si="8"/>
        <v>3</v>
      </c>
    </row>
    <row r="119" spans="1:12" x14ac:dyDescent="0.3">
      <c r="A119" s="8">
        <v>42325</v>
      </c>
      <c r="B119" s="5">
        <v>-1.119309342444786</v>
      </c>
      <c r="C119" s="5">
        <v>-0.34457660082749436</v>
      </c>
      <c r="D119" s="5">
        <v>-0.48122501317184058</v>
      </c>
      <c r="E119" s="5">
        <v>-0.44346022725892009</v>
      </c>
      <c r="F119" s="5">
        <v>-0.16246931496294087</v>
      </c>
      <c r="G119" s="5">
        <v>3.3841451176534081E-2</v>
      </c>
      <c r="H119" s="9">
        <v>4.5155674435925167E-3</v>
      </c>
      <c r="I119" s="3">
        <f t="shared" si="5"/>
        <v>3</v>
      </c>
      <c r="J119" s="14">
        <f t="shared" si="6"/>
        <v>144</v>
      </c>
      <c r="K119" s="15">
        <f t="shared" si="7"/>
        <v>2.1062113319141398</v>
      </c>
      <c r="L119" s="14">
        <f t="shared" si="8"/>
        <v>3</v>
      </c>
    </row>
    <row r="120" spans="1:12" x14ac:dyDescent="0.3">
      <c r="A120" s="8">
        <v>42326</v>
      </c>
      <c r="B120" s="5">
        <v>-1.2398678875315055</v>
      </c>
      <c r="C120" s="5">
        <v>-0.44839134594859847</v>
      </c>
      <c r="D120" s="5">
        <v>-0.42539944520906781</v>
      </c>
      <c r="E120" s="5">
        <v>-0.33934672736472998</v>
      </c>
      <c r="F120" s="5">
        <v>-0.30641306921402905</v>
      </c>
      <c r="G120" s="5">
        <v>5.2597485864743533E-2</v>
      </c>
      <c r="H120" s="9">
        <v>2.7907429547731509E-3</v>
      </c>
      <c r="I120" s="3">
        <f t="shared" si="5"/>
        <v>3</v>
      </c>
      <c r="J120" s="14">
        <f t="shared" si="6"/>
        <v>142</v>
      </c>
      <c r="K120" s="15">
        <f t="shared" si="7"/>
        <v>2.1030561575392328</v>
      </c>
      <c r="L120" s="14">
        <f t="shared" si="8"/>
        <v>3</v>
      </c>
    </row>
    <row r="121" spans="1:12" x14ac:dyDescent="0.3">
      <c r="A121" s="8">
        <v>42327</v>
      </c>
      <c r="B121" s="5">
        <v>-1.1786318011382511</v>
      </c>
      <c r="C121" s="5">
        <v>-0.41378643090823031</v>
      </c>
      <c r="D121" s="5">
        <v>-0.35290558939931471</v>
      </c>
      <c r="E121" s="5">
        <v>-0.3563304290801429</v>
      </c>
      <c r="F121" s="5">
        <v>-0.25280926045588809</v>
      </c>
      <c r="G121" s="5">
        <v>2.2919422471401173E-2</v>
      </c>
      <c r="H121" s="9">
        <v>7.0129135790324426E-3</v>
      </c>
      <c r="I121" s="3">
        <f t="shared" si="5"/>
        <v>3</v>
      </c>
      <c r="J121" s="14">
        <f t="shared" si="6"/>
        <v>135</v>
      </c>
      <c r="K121" s="15">
        <f t="shared" si="7"/>
        <v>2.0594490274842658</v>
      </c>
      <c r="L121" s="14">
        <f t="shared" si="8"/>
        <v>3</v>
      </c>
    </row>
    <row r="122" spans="1:12" x14ac:dyDescent="0.3">
      <c r="A122" s="8">
        <v>42328</v>
      </c>
      <c r="B122" s="5">
        <v>-1.0465914898527962</v>
      </c>
      <c r="C122" s="5">
        <v>-0.39648397338804636</v>
      </c>
      <c r="D122" s="5">
        <v>-0.37123109010453187</v>
      </c>
      <c r="E122" s="5">
        <v>-0.49236214862011246</v>
      </c>
      <c r="F122" s="5">
        <v>-0.18716345368306125</v>
      </c>
      <c r="G122" s="5">
        <v>6.7490643420934138E-2</v>
      </c>
      <c r="H122" s="9">
        <v>6.4324074005774889E-3</v>
      </c>
      <c r="I122" s="3">
        <f t="shared" si="5"/>
        <v>3</v>
      </c>
      <c r="J122" s="14">
        <f t="shared" si="6"/>
        <v>134</v>
      </c>
      <c r="K122" s="15">
        <f t="shared" si="7"/>
        <v>2.0569892875375384</v>
      </c>
      <c r="L122" s="14">
        <f t="shared" si="8"/>
        <v>3</v>
      </c>
    </row>
    <row r="123" spans="1:12" x14ac:dyDescent="0.3">
      <c r="A123" s="8">
        <v>42331</v>
      </c>
      <c r="B123" s="5">
        <v>-0.73467017478715635</v>
      </c>
      <c r="C123" s="5">
        <v>-0.51760117602933442</v>
      </c>
      <c r="D123" s="5">
        <v>-0.52853332541999687</v>
      </c>
      <c r="E123" s="5">
        <v>-0.53880754337489045</v>
      </c>
      <c r="F123" s="5">
        <v>-0.15191939316472231</v>
      </c>
      <c r="G123" s="5">
        <v>4.4552673902486004E-2</v>
      </c>
      <c r="H123" s="9">
        <v>3.1176935385808237E-4</v>
      </c>
      <c r="I123" s="3">
        <f t="shared" si="5"/>
        <v>2</v>
      </c>
      <c r="J123" s="14">
        <f t="shared" si="6"/>
        <v>110</v>
      </c>
      <c r="K123" s="15">
        <f t="shared" si="7"/>
        <v>1.8797330589383552</v>
      </c>
      <c r="L123" s="14">
        <f t="shared" si="8"/>
        <v>2</v>
      </c>
    </row>
    <row r="124" spans="1:12" x14ac:dyDescent="0.3">
      <c r="A124" s="8">
        <v>42332</v>
      </c>
      <c r="B124" s="5">
        <v>-0.39723382372432708</v>
      </c>
      <c r="C124" s="5">
        <v>-0.46569380346878236</v>
      </c>
      <c r="D124" s="5">
        <v>-0.58300447991097615</v>
      </c>
      <c r="E124" s="5">
        <v>-0.66485936379133936</v>
      </c>
      <c r="F124" s="5">
        <v>8.1637682102148695E-2</v>
      </c>
      <c r="G124" s="5">
        <v>-5.4725547373956795E-2</v>
      </c>
      <c r="H124" s="9">
        <v>3.3588575703451086E-3</v>
      </c>
      <c r="I124" s="3">
        <f t="shared" si="5"/>
        <v>3</v>
      </c>
      <c r="J124" s="14">
        <f t="shared" si="6"/>
        <v>104</v>
      </c>
      <c r="K124" s="15">
        <f t="shared" si="7"/>
        <v>1.8445168578013018</v>
      </c>
      <c r="L124" s="14">
        <f t="shared" si="8"/>
        <v>3</v>
      </c>
    </row>
    <row r="125" spans="1:12" x14ac:dyDescent="0.3">
      <c r="A125" s="8">
        <v>42333</v>
      </c>
      <c r="B125" s="5">
        <v>-0.13953196015271468</v>
      </c>
      <c r="C125" s="5">
        <v>-0.58681100611007042</v>
      </c>
      <c r="D125" s="5">
        <v>-0.63437398663271238</v>
      </c>
      <c r="E125" s="5">
        <v>-0.92930382948793255</v>
      </c>
      <c r="F125" s="5">
        <v>0.32781916431578384</v>
      </c>
      <c r="G125" s="5">
        <v>-6.1477036166644593E-2</v>
      </c>
      <c r="H125" s="9">
        <v>1.5390535580550591E-4</v>
      </c>
      <c r="I125" s="3">
        <f t="shared" si="5"/>
        <v>2</v>
      </c>
      <c r="J125" s="14">
        <f t="shared" si="6"/>
        <v>131</v>
      </c>
      <c r="K125" s="15">
        <f t="shared" si="7"/>
        <v>2.0460417541182729</v>
      </c>
      <c r="L125" s="14">
        <f t="shared" si="8"/>
        <v>2</v>
      </c>
    </row>
    <row r="126" spans="1:12" x14ac:dyDescent="0.3">
      <c r="A126" s="8">
        <v>42334</v>
      </c>
      <c r="B126" s="5">
        <v>0.25148596650421207</v>
      </c>
      <c r="C126" s="5">
        <v>-0.20615694066602228</v>
      </c>
      <c r="D126" s="5">
        <v>-0.64879787632477226</v>
      </c>
      <c r="E126" s="5">
        <v>-0.7186618686871552</v>
      </c>
      <c r="F126" s="5">
        <v>0.36118842274800411</v>
      </c>
      <c r="G126" s="5">
        <v>-0.23317565748009539</v>
      </c>
      <c r="H126" s="9">
        <v>-6.8578146957264611E-3</v>
      </c>
      <c r="I126" s="3">
        <f t="shared" si="5"/>
        <v>1</v>
      </c>
      <c r="J126" s="14">
        <f t="shared" si="6"/>
        <v>107</v>
      </c>
      <c r="K126" s="15">
        <f t="shared" si="7"/>
        <v>1.8611616999493721</v>
      </c>
      <c r="L126" s="14">
        <f t="shared" si="8"/>
        <v>1</v>
      </c>
    </row>
    <row r="127" spans="1:12" x14ac:dyDescent="0.3">
      <c r="A127" s="8">
        <v>42335</v>
      </c>
      <c r="B127" s="5">
        <v>0.56595878516957077</v>
      </c>
      <c r="C127" s="5">
        <v>-0.13694711058528625</v>
      </c>
      <c r="D127" s="5">
        <v>-0.64647777832324105</v>
      </c>
      <c r="E127" s="5">
        <v>-0.63494460577718703</v>
      </c>
      <c r="F127" s="5">
        <v>0.21681202186165768</v>
      </c>
      <c r="G127" s="5">
        <v>-0.29614967066623726</v>
      </c>
      <c r="H127" s="9">
        <v>-8.9383133235639185E-3</v>
      </c>
      <c r="I127" s="3">
        <f t="shared" si="5"/>
        <v>1</v>
      </c>
      <c r="J127" s="14">
        <f t="shared" si="6"/>
        <v>93</v>
      </c>
      <c r="K127" s="15">
        <f t="shared" si="7"/>
        <v>1.7310191349413451</v>
      </c>
      <c r="L127" s="14">
        <f t="shared" si="8"/>
        <v>1</v>
      </c>
    </row>
    <row r="128" spans="1:12" x14ac:dyDescent="0.3">
      <c r="A128" s="8">
        <v>42338</v>
      </c>
      <c r="B128" s="5">
        <v>0.57233754416886806</v>
      </c>
      <c r="C128" s="5">
        <v>0.20910203981839387</v>
      </c>
      <c r="D128" s="5">
        <v>3.9293269949496959E-2</v>
      </c>
      <c r="E128" s="5">
        <v>-1.0126345323735411</v>
      </c>
      <c r="F128" s="5">
        <v>0.54475262463561958</v>
      </c>
      <c r="G128" s="5">
        <v>-0.13015420570846617</v>
      </c>
      <c r="H128" s="9">
        <v>-3.4564882297495104E-3</v>
      </c>
      <c r="I128" s="3">
        <f t="shared" si="5"/>
        <v>1</v>
      </c>
      <c r="J128" s="14">
        <f t="shared" si="6"/>
        <v>163</v>
      </c>
      <c r="K128" s="15">
        <f t="shared" si="7"/>
        <v>2.2654029946639498</v>
      </c>
      <c r="L128" s="14">
        <f t="shared" si="8"/>
        <v>1</v>
      </c>
    </row>
    <row r="129" spans="1:12" x14ac:dyDescent="0.3">
      <c r="A129" s="8">
        <v>42339</v>
      </c>
      <c r="B129" s="5">
        <v>0.65972654245924167</v>
      </c>
      <c r="C129" s="5">
        <v>0.39942907254041798</v>
      </c>
      <c r="D129" s="5">
        <v>0.22865132139194003</v>
      </c>
      <c r="E129" s="5">
        <v>-0.80272412602746568</v>
      </c>
      <c r="F129" s="5">
        <v>0.33063136744496197</v>
      </c>
      <c r="G129" s="5">
        <v>-0.18710030738181171</v>
      </c>
      <c r="H129" s="9">
        <v>-9.1382522842334175E-3</v>
      </c>
      <c r="I129" s="3">
        <f t="shared" si="5"/>
        <v>1</v>
      </c>
      <c r="J129" s="14">
        <f t="shared" si="6"/>
        <v>147</v>
      </c>
      <c r="K129" s="15">
        <f t="shared" si="7"/>
        <v>2.1248228051550067</v>
      </c>
      <c r="L129" s="14">
        <f t="shared" si="8"/>
        <v>1</v>
      </c>
    </row>
    <row r="130" spans="1:12" x14ac:dyDescent="0.3">
      <c r="A130" s="8">
        <v>42340</v>
      </c>
      <c r="B130" s="5">
        <v>0.57935417906809517</v>
      </c>
      <c r="C130" s="5">
        <v>0.69357085038354604</v>
      </c>
      <c r="D130" s="5">
        <v>0.40665030395916074</v>
      </c>
      <c r="E130" s="5">
        <v>-0.85446497746003036</v>
      </c>
      <c r="F130" s="5">
        <v>0.16219315753618027</v>
      </c>
      <c r="G130" s="5">
        <v>-0.13072395159814451</v>
      </c>
      <c r="H130" s="9">
        <v>-5.7748842198272147E-3</v>
      </c>
      <c r="I130" s="3">
        <f t="shared" si="5"/>
        <v>1</v>
      </c>
      <c r="J130" s="14">
        <f t="shared" si="6"/>
        <v>171</v>
      </c>
      <c r="K130" s="15">
        <f t="shared" si="7"/>
        <v>2.3023320860051797</v>
      </c>
      <c r="L130" s="14">
        <f t="shared" si="8"/>
        <v>1</v>
      </c>
    </row>
    <row r="131" spans="1:12" x14ac:dyDescent="0.3">
      <c r="A131" s="8">
        <v>42341</v>
      </c>
      <c r="B131" s="5">
        <v>0.21640279200807672</v>
      </c>
      <c r="C131" s="5">
        <v>0.17449712477802587</v>
      </c>
      <c r="D131" s="5">
        <v>0.36756258586457841</v>
      </c>
      <c r="E131" s="5">
        <v>-0.95518672488241996</v>
      </c>
      <c r="F131" s="5">
        <v>-2.5065417038321104E-3</v>
      </c>
      <c r="G131" s="5">
        <v>0.10090623985056608</v>
      </c>
      <c r="H131" s="9">
        <v>-1.08822654801628E-3</v>
      </c>
      <c r="I131" s="3">
        <f t="shared" si="5"/>
        <v>2</v>
      </c>
      <c r="J131" s="14">
        <f t="shared" si="6"/>
        <v>140</v>
      </c>
      <c r="K131" s="15">
        <f t="shared" si="7"/>
        <v>2.0964315619385583</v>
      </c>
      <c r="L131" s="14">
        <f t="shared" si="8"/>
        <v>2</v>
      </c>
    </row>
    <row r="132" spans="1:12" x14ac:dyDescent="0.3">
      <c r="A132" s="8">
        <v>42342</v>
      </c>
      <c r="B132" s="5">
        <v>-0.20204379834582867</v>
      </c>
      <c r="C132" s="5">
        <v>1.8775007096369832E-2</v>
      </c>
      <c r="D132" s="5">
        <v>0.414326677593857</v>
      </c>
      <c r="E132" s="5">
        <v>-1.0405582984342712</v>
      </c>
      <c r="F132" s="5">
        <v>7.6279519927028222E-2</v>
      </c>
      <c r="G132" s="5">
        <v>0.30904011080894378</v>
      </c>
      <c r="H132" s="9">
        <v>2.3502033071036267E-3</v>
      </c>
      <c r="I132" s="3">
        <f t="shared" si="5"/>
        <v>3</v>
      </c>
      <c r="J132" s="14">
        <f t="shared" si="6"/>
        <v>167</v>
      </c>
      <c r="K132" s="15">
        <f t="shared" si="7"/>
        <v>2.2858401630118257</v>
      </c>
      <c r="L132" s="14">
        <f t="shared" si="8"/>
        <v>3</v>
      </c>
    </row>
    <row r="133" spans="1:12" x14ac:dyDescent="0.3">
      <c r="A133" s="8">
        <v>42345</v>
      </c>
      <c r="B133" s="5">
        <v>-0.36470215282791074</v>
      </c>
      <c r="C133" s="5">
        <v>-0.46569380346878236</v>
      </c>
      <c r="D133" s="5">
        <v>-0.27699501078307359</v>
      </c>
      <c r="E133" s="5">
        <v>-0.68210077218965848</v>
      </c>
      <c r="F133" s="5">
        <v>-0.3054423876605652</v>
      </c>
      <c r="G133" s="5">
        <v>0.21458763721807617</v>
      </c>
      <c r="H133" s="9">
        <v>-1.5854142724798238E-4</v>
      </c>
      <c r="I133" s="3">
        <f t="shared" si="5"/>
        <v>2</v>
      </c>
      <c r="J133" s="14">
        <f t="shared" si="6"/>
        <v>97</v>
      </c>
      <c r="K133" s="15">
        <f t="shared" si="7"/>
        <v>1.7631380097757003</v>
      </c>
      <c r="L133" s="14">
        <f t="shared" si="8"/>
        <v>2</v>
      </c>
    </row>
    <row r="134" spans="1:12" x14ac:dyDescent="0.3">
      <c r="A134" s="8">
        <v>42346</v>
      </c>
      <c r="B134" s="5">
        <v>-0.70724151109017774</v>
      </c>
      <c r="C134" s="5">
        <v>-0.88095278395319843</v>
      </c>
      <c r="D134" s="5">
        <v>-0.50980477418012216</v>
      </c>
      <c r="E134" s="5">
        <v>-0.84426478068821853</v>
      </c>
      <c r="F134" s="5">
        <v>-0.30115474857012198</v>
      </c>
      <c r="G134" s="5">
        <v>0.31650378196372947</v>
      </c>
      <c r="H134" s="9">
        <v>2.3631625862762461E-3</v>
      </c>
      <c r="I134" s="3">
        <f t="shared" si="5"/>
        <v>3</v>
      </c>
      <c r="J134" s="14">
        <f t="shared" si="6"/>
        <v>146</v>
      </c>
      <c r="K134" s="15">
        <f t="shared" si="7"/>
        <v>2.1177609262729575</v>
      </c>
      <c r="L134" s="14">
        <f t="shared" si="8"/>
        <v>3</v>
      </c>
    </row>
    <row r="135" spans="1:12" x14ac:dyDescent="0.3">
      <c r="A135" s="8">
        <v>42347</v>
      </c>
      <c r="B135" s="5">
        <v>-0.87436499687176794</v>
      </c>
      <c r="C135" s="5">
        <v>-1.1404896467559587</v>
      </c>
      <c r="D135" s="5">
        <v>-0.60763352730289344</v>
      </c>
      <c r="E135" s="5">
        <v>-0.83209021820059148</v>
      </c>
      <c r="F135" s="5">
        <v>-0.10153270041234726</v>
      </c>
      <c r="G135" s="5">
        <v>0.27640506624817107</v>
      </c>
      <c r="H135" s="9">
        <v>5.6209788640217088E-3</v>
      </c>
      <c r="I135" s="3">
        <f t="shared" ref="I135:I198" si="9">IF(H135&lt;-0.2%,1,IF(ABS(H135)&lt;0.2%,2,3))</f>
        <v>3</v>
      </c>
      <c r="J135" s="14">
        <f t="shared" ref="J135:J198" si="10">RANK(K135, $K$6:$K$231, 1)</f>
        <v>166</v>
      </c>
      <c r="K135" s="15">
        <f t="shared" ref="K135:K198" si="11">SQRT(($K$3-B135)^2 + ($L$3-C135)^2 + ($M$3 - D135)^2 + ($N$3 - E135)^2 + ($O$3 - F135)^2 + ($P$3 - G135)^2)</f>
        <v>2.2808029479805096</v>
      </c>
      <c r="L135" s="14">
        <f t="shared" ref="L135:L198" si="12">I135</f>
        <v>3</v>
      </c>
    </row>
    <row r="136" spans="1:12" x14ac:dyDescent="0.3">
      <c r="A136" s="8">
        <v>42348</v>
      </c>
      <c r="B136" s="5">
        <v>-0.81631828997816225</v>
      </c>
      <c r="C136" s="5">
        <v>-0.81174295387246254</v>
      </c>
      <c r="D136" s="5">
        <v>-0.32698759867321325</v>
      </c>
      <c r="E136" s="5">
        <v>-1.0407910657607673</v>
      </c>
      <c r="F136" s="5">
        <v>0.25477399072969548</v>
      </c>
      <c r="G136" s="5">
        <v>0.2498207230357819</v>
      </c>
      <c r="H136" s="9">
        <v>1.08822654801628E-3</v>
      </c>
      <c r="I136" s="3">
        <f t="shared" si="9"/>
        <v>2</v>
      </c>
      <c r="J136" s="14">
        <f t="shared" si="10"/>
        <v>182</v>
      </c>
      <c r="K136" s="15">
        <f t="shared" si="11"/>
        <v>2.4105848541651564</v>
      </c>
      <c r="L136" s="14">
        <f t="shared" si="12"/>
        <v>2</v>
      </c>
    </row>
    <row r="137" spans="1:12" x14ac:dyDescent="0.3">
      <c r="A137" s="8">
        <v>42349</v>
      </c>
      <c r="B137" s="5">
        <v>-0.60071623580191225</v>
      </c>
      <c r="C137" s="5">
        <v>-0.63871837867062242</v>
      </c>
      <c r="D137" s="5">
        <v>-0.29830758651671735</v>
      </c>
      <c r="E137" s="5">
        <v>-1.0326857749274208</v>
      </c>
      <c r="F137" s="5">
        <v>0.39270506610104189</v>
      </c>
      <c r="G137" s="5">
        <v>-1.045059428705657E-2</v>
      </c>
      <c r="H137" s="9">
        <v>-9.3676986248532042E-4</v>
      </c>
      <c r="I137" s="3">
        <f t="shared" si="9"/>
        <v>2</v>
      </c>
      <c r="J137" s="14">
        <f t="shared" si="10"/>
        <v>168</v>
      </c>
      <c r="K137" s="15">
        <f t="shared" si="11"/>
        <v>2.287673409127744</v>
      </c>
      <c r="L137" s="14">
        <f t="shared" si="12"/>
        <v>2</v>
      </c>
    </row>
    <row r="138" spans="1:12" x14ac:dyDescent="0.3">
      <c r="A138" s="8">
        <v>42352</v>
      </c>
      <c r="B138" s="5">
        <v>-0.48526069791463045</v>
      </c>
      <c r="C138" s="5">
        <v>-0.55220609106970231</v>
      </c>
      <c r="D138" s="5">
        <v>-0.24369321609971767</v>
      </c>
      <c r="E138" s="5">
        <v>-1.1677864251614056</v>
      </c>
      <c r="F138" s="5">
        <v>0.69476452528379051</v>
      </c>
      <c r="G138" s="5">
        <v>-0.12956736744209757</v>
      </c>
      <c r="H138" s="9">
        <v>2.9910041897487361E-3</v>
      </c>
      <c r="I138" s="3">
        <f t="shared" si="9"/>
        <v>3</v>
      </c>
      <c r="J138" s="14">
        <f t="shared" si="10"/>
        <v>188</v>
      </c>
      <c r="K138" s="15">
        <f t="shared" si="11"/>
        <v>2.4675901855629854</v>
      </c>
      <c r="L138" s="14">
        <f t="shared" si="12"/>
        <v>3</v>
      </c>
    </row>
    <row r="139" spans="1:12" x14ac:dyDescent="0.3">
      <c r="A139" s="8">
        <v>42353</v>
      </c>
      <c r="B139" s="5">
        <v>-0.26327988473908304</v>
      </c>
      <c r="C139" s="5">
        <v>-0.37918151586786231</v>
      </c>
      <c r="D139" s="5">
        <v>-0.16764146749925637</v>
      </c>
      <c r="E139" s="5">
        <v>-1.3635686861010474</v>
      </c>
      <c r="F139" s="5">
        <v>0.97690559898946083</v>
      </c>
      <c r="G139" s="5">
        <v>-0.19785141232004116</v>
      </c>
      <c r="H139" s="9">
        <v>2.3355656620015707E-3</v>
      </c>
      <c r="I139" s="3">
        <f t="shared" si="9"/>
        <v>3</v>
      </c>
      <c r="J139" s="14">
        <f t="shared" si="10"/>
        <v>198</v>
      </c>
      <c r="K139" s="15">
        <f t="shared" si="11"/>
        <v>2.70600034035929</v>
      </c>
      <c r="L139" s="14">
        <f t="shared" si="12"/>
        <v>3</v>
      </c>
    </row>
    <row r="140" spans="1:12" x14ac:dyDescent="0.3">
      <c r="A140" s="8">
        <v>42354</v>
      </c>
      <c r="B140" s="5">
        <v>7.0329210924167662E-2</v>
      </c>
      <c r="C140" s="5">
        <v>-5.0434822984366211E-2</v>
      </c>
      <c r="D140" s="5">
        <v>-0.11414008942161562</v>
      </c>
      <c r="E140" s="5">
        <v>-1.2275785321550949</v>
      </c>
      <c r="F140" s="5">
        <v>1.2057035612684921</v>
      </c>
      <c r="G140" s="5">
        <v>-0.45767263039003375</v>
      </c>
      <c r="H140" s="9">
        <v>-6.1680850739236352E-4</v>
      </c>
      <c r="I140" s="3">
        <f t="shared" si="9"/>
        <v>2</v>
      </c>
      <c r="J140" s="14">
        <f t="shared" si="10"/>
        <v>200</v>
      </c>
      <c r="K140" s="15">
        <f t="shared" si="11"/>
        <v>2.732245508542873</v>
      </c>
      <c r="L140" s="14">
        <f t="shared" si="12"/>
        <v>2</v>
      </c>
    </row>
    <row r="141" spans="1:12" x14ac:dyDescent="0.3">
      <c r="A141" s="8">
        <v>42355</v>
      </c>
      <c r="B141" s="5">
        <v>0.18578474881144946</v>
      </c>
      <c r="C141" s="5">
        <v>1.4725495761858109E-3</v>
      </c>
      <c r="D141" s="5">
        <v>-0.37845531060136361</v>
      </c>
      <c r="E141" s="5">
        <v>-1.129924325571172</v>
      </c>
      <c r="F141" s="5">
        <v>1.1250870715653856</v>
      </c>
      <c r="G141" s="5">
        <v>-0.44761661543721176</v>
      </c>
      <c r="H141" s="9">
        <v>-7.7670000527945153E-4</v>
      </c>
      <c r="I141" s="3">
        <f t="shared" si="9"/>
        <v>2</v>
      </c>
      <c r="J141" s="14">
        <f t="shared" si="10"/>
        <v>193</v>
      </c>
      <c r="K141" s="15">
        <f t="shared" si="11"/>
        <v>2.6215008600027634</v>
      </c>
      <c r="L141" s="14">
        <f t="shared" si="12"/>
        <v>2</v>
      </c>
    </row>
    <row r="142" spans="1:12" x14ac:dyDescent="0.3">
      <c r="A142" s="8">
        <v>42356</v>
      </c>
      <c r="B142" s="5">
        <v>0.18514687291151974</v>
      </c>
      <c r="C142" s="5">
        <v>1.8775007096369825E-2</v>
      </c>
      <c r="D142" s="5">
        <v>-0.45693763806057197</v>
      </c>
      <c r="E142" s="5">
        <v>-0.96282232450337291</v>
      </c>
      <c r="F142" s="5">
        <v>1.0098033835242843</v>
      </c>
      <c r="G142" s="5">
        <v>-0.33298374243393897</v>
      </c>
      <c r="H142" s="9">
        <v>-1.8868064466715851E-3</v>
      </c>
      <c r="I142" s="3">
        <f t="shared" si="9"/>
        <v>2</v>
      </c>
      <c r="J142" s="14">
        <f t="shared" si="10"/>
        <v>186</v>
      </c>
      <c r="K142" s="15">
        <f t="shared" si="11"/>
        <v>2.4482941978266997</v>
      </c>
      <c r="L142" s="14">
        <f t="shared" si="12"/>
        <v>2</v>
      </c>
    </row>
    <row r="143" spans="1:12" x14ac:dyDescent="0.3">
      <c r="A143" s="8">
        <v>42359</v>
      </c>
      <c r="B143" s="5">
        <v>0.31782506009690437</v>
      </c>
      <c r="C143" s="5">
        <v>0.12258975221747388</v>
      </c>
      <c r="D143" s="5">
        <v>-0.58447142018178566</v>
      </c>
      <c r="E143" s="5">
        <v>-0.6978250364063513</v>
      </c>
      <c r="F143" s="5">
        <v>0.6979483607791519</v>
      </c>
      <c r="G143" s="5">
        <v>-0.26799282879833591</v>
      </c>
      <c r="H143" s="9">
        <v>-4.1043271441594696E-3</v>
      </c>
      <c r="I143" s="3">
        <f t="shared" si="9"/>
        <v>1</v>
      </c>
      <c r="J143" s="14">
        <f t="shared" si="10"/>
        <v>148</v>
      </c>
      <c r="K143" s="15">
        <f t="shared" si="11"/>
        <v>2.1251403126700446</v>
      </c>
      <c r="L143" s="14">
        <f t="shared" si="12"/>
        <v>1</v>
      </c>
    </row>
    <row r="144" spans="1:12" x14ac:dyDescent="0.3">
      <c r="A144" s="8">
        <v>42360</v>
      </c>
      <c r="B144" s="5">
        <v>0.37778539469029931</v>
      </c>
      <c r="C144" s="5">
        <v>0.2091020398183939</v>
      </c>
      <c r="D144" s="5">
        <v>-0.52166509879641609</v>
      </c>
      <c r="E144" s="5">
        <v>-0.42604424336572871</v>
      </c>
      <c r="F144" s="5">
        <v>0.48473122412114905</v>
      </c>
      <c r="G144" s="5">
        <v>-0.31003437799769734</v>
      </c>
      <c r="H144" s="9">
        <v>-5.0159368794048479E-3</v>
      </c>
      <c r="I144" s="3">
        <f t="shared" si="9"/>
        <v>1</v>
      </c>
      <c r="J144" s="14">
        <f t="shared" si="10"/>
        <v>105</v>
      </c>
      <c r="K144" s="15">
        <f t="shared" si="11"/>
        <v>1.8480915400381233</v>
      </c>
      <c r="L144" s="14">
        <f t="shared" si="12"/>
        <v>1</v>
      </c>
    </row>
    <row r="145" spans="1:12" x14ac:dyDescent="0.3">
      <c r="A145" s="8">
        <v>42361</v>
      </c>
      <c r="B145" s="5">
        <v>0.29549940359936372</v>
      </c>
      <c r="C145" s="5">
        <v>-5.0434822984366204E-2</v>
      </c>
      <c r="D145" s="5">
        <v>-0.52333049542185395</v>
      </c>
      <c r="E145" s="5">
        <v>-0.42424029658538398</v>
      </c>
      <c r="F145" s="5">
        <v>0.38394119836119678</v>
      </c>
      <c r="G145" s="5">
        <v>-0.24702618005817473</v>
      </c>
      <c r="H145" s="9">
        <v>-1.4406225641776516E-2</v>
      </c>
      <c r="I145" s="3">
        <f t="shared" si="9"/>
        <v>1</v>
      </c>
      <c r="J145" s="14">
        <f t="shared" si="10"/>
        <v>88</v>
      </c>
      <c r="K145" s="15">
        <f t="shared" si="11"/>
        <v>1.6816946008997451</v>
      </c>
      <c r="L145" s="14">
        <f t="shared" si="12"/>
        <v>1</v>
      </c>
    </row>
    <row r="146" spans="1:12" x14ac:dyDescent="0.3">
      <c r="A146" s="8">
        <v>42362</v>
      </c>
      <c r="B146" s="5">
        <v>0.20555890170927121</v>
      </c>
      <c r="C146" s="5">
        <v>-0.36187905834767836</v>
      </c>
      <c r="D146" s="5">
        <v>-0.56123361321406695</v>
      </c>
      <c r="E146" s="5">
        <v>-0.31930379792965397</v>
      </c>
      <c r="F146" s="5">
        <v>0.54528511280209135</v>
      </c>
      <c r="G146" s="5">
        <v>-0.54771527079479143</v>
      </c>
      <c r="H146" s="9">
        <v>-1.2358523766911845E-2</v>
      </c>
      <c r="I146" s="3">
        <f t="shared" si="9"/>
        <v>1</v>
      </c>
      <c r="J146" s="14">
        <f t="shared" si="10"/>
        <v>84</v>
      </c>
      <c r="K146" s="15">
        <f t="shared" si="11"/>
        <v>1.6377639844823673</v>
      </c>
      <c r="L146" s="14">
        <f t="shared" si="12"/>
        <v>1</v>
      </c>
    </row>
    <row r="147" spans="1:12" x14ac:dyDescent="0.3">
      <c r="A147" s="8">
        <v>42366</v>
      </c>
      <c r="B147" s="5">
        <v>8.8189736122200199E-2</v>
      </c>
      <c r="C147" s="5">
        <v>-0.37918151586786236</v>
      </c>
      <c r="D147" s="5">
        <v>-0.44080743290706836</v>
      </c>
      <c r="E147" s="5">
        <v>-0.22433472871923979</v>
      </c>
      <c r="F147" s="5">
        <v>0.6284919355650127</v>
      </c>
      <c r="G147" s="5">
        <v>-0.76426428854371742</v>
      </c>
      <c r="H147" s="9">
        <v>-1.4918835225172344E-2</v>
      </c>
      <c r="I147" s="3">
        <f t="shared" si="9"/>
        <v>1</v>
      </c>
      <c r="J147" s="14">
        <f t="shared" si="10"/>
        <v>86</v>
      </c>
      <c r="K147" s="15">
        <f t="shared" si="11"/>
        <v>1.6660382911729794</v>
      </c>
      <c r="L147" s="14">
        <f t="shared" si="12"/>
        <v>1</v>
      </c>
    </row>
    <row r="148" spans="1:12" x14ac:dyDescent="0.3">
      <c r="A148" s="8">
        <v>42367</v>
      </c>
      <c r="B148" s="5">
        <v>-0.1025351579567902</v>
      </c>
      <c r="C148" s="5">
        <v>-0.36187905834767836</v>
      </c>
      <c r="D148" s="5">
        <v>-0.2925216631054911</v>
      </c>
      <c r="E148" s="5">
        <v>-0.27476626394026377</v>
      </c>
      <c r="F148" s="5">
        <v>0.41423755633273718</v>
      </c>
      <c r="G148" s="5">
        <v>-0.57008349442356121</v>
      </c>
      <c r="H148" s="9">
        <v>-1.506711373484002E-2</v>
      </c>
      <c r="I148" s="3">
        <f t="shared" si="9"/>
        <v>1</v>
      </c>
      <c r="J148" s="14">
        <f t="shared" si="10"/>
        <v>79</v>
      </c>
      <c r="K148" s="15">
        <f t="shared" si="11"/>
        <v>1.5561192019762169</v>
      </c>
      <c r="L148" s="14">
        <f t="shared" si="12"/>
        <v>1</v>
      </c>
    </row>
    <row r="149" spans="1:12" x14ac:dyDescent="0.3">
      <c r="A149" s="8">
        <v>42368</v>
      </c>
      <c r="B149" s="5">
        <v>-0.30155243873486715</v>
      </c>
      <c r="C149" s="5">
        <v>-0.48299626098896642</v>
      </c>
      <c r="D149" s="5">
        <v>-0.2970922970873438</v>
      </c>
      <c r="E149" s="5">
        <v>-0.20770017799357116</v>
      </c>
      <c r="F149" s="5">
        <v>0.15778903665932148</v>
      </c>
      <c r="G149" s="5">
        <v>-0.44177102260911261</v>
      </c>
      <c r="H149" s="9">
        <v>-1.4650727269561159E-2</v>
      </c>
      <c r="I149" s="3">
        <f t="shared" si="9"/>
        <v>1</v>
      </c>
      <c r="J149" s="14">
        <f t="shared" si="10"/>
        <v>66</v>
      </c>
      <c r="K149" s="15">
        <f t="shared" si="11"/>
        <v>1.4221094977808342</v>
      </c>
      <c r="L149" s="14">
        <f t="shared" si="12"/>
        <v>1</v>
      </c>
    </row>
    <row r="150" spans="1:12" x14ac:dyDescent="0.3">
      <c r="A150" s="8">
        <v>42373</v>
      </c>
      <c r="B150" s="5">
        <v>-0.79016537808104315</v>
      </c>
      <c r="C150" s="5">
        <v>0.17449712477802587</v>
      </c>
      <c r="D150" s="5">
        <v>-9.2925718894385903E-2</v>
      </c>
      <c r="E150" s="5">
        <v>-0.28549850031549528</v>
      </c>
      <c r="F150" s="5">
        <v>-0.42873003845394242</v>
      </c>
      <c r="G150" s="5">
        <v>0.27462176161347801</v>
      </c>
      <c r="H150" s="9">
        <v>-8.9960009337840315E-3</v>
      </c>
      <c r="I150" s="3">
        <f t="shared" si="9"/>
        <v>1</v>
      </c>
      <c r="J150" s="14">
        <f t="shared" si="10"/>
        <v>116</v>
      </c>
      <c r="K150" s="15">
        <f t="shared" si="11"/>
        <v>1.9584062308988841</v>
      </c>
      <c r="L150" s="14">
        <f t="shared" si="12"/>
        <v>1</v>
      </c>
    </row>
    <row r="151" spans="1:12" x14ac:dyDescent="0.3">
      <c r="A151" s="8">
        <v>42374</v>
      </c>
      <c r="B151" s="5">
        <v>-1.1422728748422564</v>
      </c>
      <c r="C151" s="5">
        <v>0.46863890262115399</v>
      </c>
      <c r="D151" s="5">
        <v>2.9525943794901949E-2</v>
      </c>
      <c r="E151" s="5">
        <v>-0.23098938032138761</v>
      </c>
      <c r="F151" s="5">
        <v>-0.80795036100946616</v>
      </c>
      <c r="G151" s="5">
        <v>0.60116592082369569</v>
      </c>
      <c r="H151" s="9">
        <v>-1.0537696244015394E-2</v>
      </c>
      <c r="I151" s="3">
        <f t="shared" si="9"/>
        <v>1</v>
      </c>
      <c r="J151" s="14">
        <f t="shared" si="10"/>
        <v>185</v>
      </c>
      <c r="K151" s="15">
        <f t="shared" si="11"/>
        <v>2.443075126231379</v>
      </c>
      <c r="L151" s="14">
        <f t="shared" si="12"/>
        <v>1</v>
      </c>
    </row>
    <row r="152" spans="1:12" x14ac:dyDescent="0.3">
      <c r="A152" s="8">
        <v>42375</v>
      </c>
      <c r="B152" s="5">
        <v>-1.5294635460996049</v>
      </c>
      <c r="C152" s="5">
        <v>0.76278068046428205</v>
      </c>
      <c r="D152" s="5">
        <v>0.31497983565526877</v>
      </c>
      <c r="E152" s="5">
        <v>-0.48912003228677375</v>
      </c>
      <c r="F152" s="5">
        <v>-0.99139253435893193</v>
      </c>
      <c r="G152" s="5">
        <v>1.1536940897159123</v>
      </c>
      <c r="H152" s="9">
        <v>-4.6493699397498036E-3</v>
      </c>
      <c r="I152" s="3">
        <f t="shared" si="9"/>
        <v>1</v>
      </c>
      <c r="J152" s="14">
        <f t="shared" si="10"/>
        <v>211</v>
      </c>
      <c r="K152" s="15">
        <f t="shared" si="11"/>
        <v>3.2273374227453262</v>
      </c>
      <c r="L152" s="14">
        <f t="shared" si="12"/>
        <v>1</v>
      </c>
    </row>
    <row r="153" spans="1:12" x14ac:dyDescent="0.3">
      <c r="A153" s="8">
        <v>42376</v>
      </c>
      <c r="B153" s="5">
        <v>-1.8464878683646824</v>
      </c>
      <c r="C153" s="5">
        <v>0.88389788310557016</v>
      </c>
      <c r="D153" s="5">
        <v>0.41613938202891576</v>
      </c>
      <c r="E153" s="5">
        <v>-0.53298004709368429</v>
      </c>
      <c r="F153" s="5">
        <v>-0.85036082476823549</v>
      </c>
      <c r="G153" s="5">
        <v>1.1507371085484817</v>
      </c>
      <c r="H153" s="9">
        <v>-4.3461075664776418E-3</v>
      </c>
      <c r="I153" s="3">
        <f t="shared" si="9"/>
        <v>1</v>
      </c>
      <c r="J153" s="14">
        <f t="shared" si="10"/>
        <v>215</v>
      </c>
      <c r="K153" s="15">
        <f t="shared" si="11"/>
        <v>3.5020869917283584</v>
      </c>
      <c r="L153" s="14">
        <f t="shared" si="12"/>
        <v>1</v>
      </c>
    </row>
    <row r="154" spans="1:12" x14ac:dyDescent="0.3">
      <c r="A154" s="8">
        <v>42377</v>
      </c>
      <c r="B154" s="5">
        <v>-2.0844155790384731</v>
      </c>
      <c r="C154" s="5">
        <v>0.97041017070649027</v>
      </c>
      <c r="D154" s="5">
        <v>0.52622128059363704</v>
      </c>
      <c r="E154" s="5">
        <v>-0.74326870034531578</v>
      </c>
      <c r="F154" s="5">
        <v>-0.51683464299805593</v>
      </c>
      <c r="G154" s="5">
        <v>1.1940264012462385</v>
      </c>
      <c r="H154" s="9">
        <v>-6.7744209669179153E-3</v>
      </c>
      <c r="I154" s="3">
        <f t="shared" si="9"/>
        <v>1</v>
      </c>
      <c r="J154" s="14">
        <f t="shared" si="10"/>
        <v>218</v>
      </c>
      <c r="K154" s="15">
        <f t="shared" si="11"/>
        <v>3.8045454557504841</v>
      </c>
      <c r="L154" s="14">
        <f t="shared" si="12"/>
        <v>1</v>
      </c>
    </row>
    <row r="155" spans="1:12" x14ac:dyDescent="0.3">
      <c r="A155" s="8">
        <v>42380</v>
      </c>
      <c r="B155" s="5">
        <v>-2.0614520466410027</v>
      </c>
      <c r="C155" s="5">
        <v>0.36482415750004998</v>
      </c>
      <c r="D155" s="5">
        <v>0.39188065010285134</v>
      </c>
      <c r="E155" s="5">
        <v>-0.76715229066757762</v>
      </c>
      <c r="F155" s="5">
        <v>-5.3841729002734651E-2</v>
      </c>
      <c r="G155" s="5">
        <v>0.74081633584274242</v>
      </c>
      <c r="H155" s="9">
        <v>-4.5656065112400059E-3</v>
      </c>
      <c r="I155" s="3">
        <f t="shared" si="9"/>
        <v>1</v>
      </c>
      <c r="J155" s="14">
        <f t="shared" si="10"/>
        <v>214</v>
      </c>
      <c r="K155" s="15">
        <f t="shared" si="11"/>
        <v>3.4065694865653726</v>
      </c>
      <c r="L155" s="14">
        <f t="shared" si="12"/>
        <v>1</v>
      </c>
    </row>
    <row r="156" spans="1:12" x14ac:dyDescent="0.3">
      <c r="A156" s="8">
        <v>42381</v>
      </c>
      <c r="B156" s="5">
        <v>-2.0595384189412136</v>
      </c>
      <c r="C156" s="5">
        <v>0.19179958229820987</v>
      </c>
      <c r="D156" s="5">
        <v>0.37199614174581158</v>
      </c>
      <c r="E156" s="5">
        <v>-0.81937530299074146</v>
      </c>
      <c r="F156" s="5">
        <v>-3.4355990160914583E-2</v>
      </c>
      <c r="G156" s="5">
        <v>0.77728577024104994</v>
      </c>
      <c r="H156" s="9">
        <v>4.316093264606735E-3</v>
      </c>
      <c r="I156" s="3">
        <f t="shared" si="9"/>
        <v>3</v>
      </c>
      <c r="J156" s="14">
        <f t="shared" si="10"/>
        <v>213</v>
      </c>
      <c r="K156" s="15">
        <f t="shared" si="11"/>
        <v>3.3893919280978708</v>
      </c>
      <c r="L156" s="14">
        <f t="shared" si="12"/>
        <v>3</v>
      </c>
    </row>
    <row r="157" spans="1:12" x14ac:dyDescent="0.3">
      <c r="A157" s="8">
        <v>42382</v>
      </c>
      <c r="B157" s="5">
        <v>-1.8248000877670711</v>
      </c>
      <c r="C157" s="5">
        <v>-0.30997168578712631</v>
      </c>
      <c r="D157" s="5">
        <v>-8.5140910344274109E-2</v>
      </c>
      <c r="E157" s="5">
        <v>-0.59036134963437781</v>
      </c>
      <c r="F157" s="5">
        <v>0.13423198204468725</v>
      </c>
      <c r="G157" s="5">
        <v>0.47590728697792262</v>
      </c>
      <c r="H157" s="9">
        <v>-1.7497924386468354E-3</v>
      </c>
      <c r="I157" s="3">
        <f t="shared" si="9"/>
        <v>2</v>
      </c>
      <c r="J157" s="14">
        <f t="shared" si="10"/>
        <v>201</v>
      </c>
      <c r="K157" s="15">
        <f t="shared" si="11"/>
        <v>2.8959886976335256</v>
      </c>
      <c r="L157" s="14">
        <f t="shared" si="12"/>
        <v>2</v>
      </c>
    </row>
    <row r="158" spans="1:12" x14ac:dyDescent="0.3">
      <c r="A158" s="8">
        <v>42383</v>
      </c>
      <c r="B158" s="5">
        <v>-1.5779421144942642</v>
      </c>
      <c r="C158" s="5">
        <v>-0.67332329371099053</v>
      </c>
      <c r="D158" s="5">
        <v>-0.23524347646451091</v>
      </c>
      <c r="E158" s="5">
        <v>-0.48308886459488337</v>
      </c>
      <c r="F158" s="5">
        <v>0.29924229938180807</v>
      </c>
      <c r="G158" s="5">
        <v>0.35106456763161475</v>
      </c>
      <c r="H158" s="9">
        <v>-1.234027714031427E-3</v>
      </c>
      <c r="I158" s="3">
        <f t="shared" si="9"/>
        <v>2</v>
      </c>
      <c r="J158" s="14">
        <f t="shared" si="10"/>
        <v>195</v>
      </c>
      <c r="K158" s="15">
        <f t="shared" si="11"/>
        <v>2.6367147961010038</v>
      </c>
      <c r="L158" s="14">
        <f t="shared" si="12"/>
        <v>2</v>
      </c>
    </row>
    <row r="159" spans="1:12" x14ac:dyDescent="0.3">
      <c r="A159" s="8">
        <v>42384</v>
      </c>
      <c r="B159" s="5">
        <v>-1.4159216359121121</v>
      </c>
      <c r="C159" s="5">
        <v>-0.58681100611007042</v>
      </c>
      <c r="D159" s="5">
        <v>-0.33406041947682341</v>
      </c>
      <c r="E159" s="5">
        <v>-0.32343126141555828</v>
      </c>
      <c r="F159" s="5">
        <v>0.21905290956222573</v>
      </c>
      <c r="G159" s="5">
        <v>0.37139879843423312</v>
      </c>
      <c r="H159" s="9">
        <v>6.2613809250088078E-3</v>
      </c>
      <c r="I159" s="3">
        <f t="shared" si="9"/>
        <v>3</v>
      </c>
      <c r="J159" s="14">
        <f t="shared" si="10"/>
        <v>183</v>
      </c>
      <c r="K159" s="15">
        <f t="shared" si="11"/>
        <v>2.4316551997613272</v>
      </c>
      <c r="L159" s="14">
        <f t="shared" si="12"/>
        <v>3</v>
      </c>
    </row>
    <row r="160" spans="1:12" x14ac:dyDescent="0.3">
      <c r="A160" s="8">
        <v>42387</v>
      </c>
      <c r="B160" s="5">
        <v>-1.2118013479345973</v>
      </c>
      <c r="C160" s="5">
        <v>-0.1542495681054703</v>
      </c>
      <c r="D160" s="5">
        <v>-0.17255991158715883</v>
      </c>
      <c r="E160" s="5">
        <v>-0.21339050781452071</v>
      </c>
      <c r="F160" s="5">
        <v>0.24254340315605094</v>
      </c>
      <c r="G160" s="5">
        <v>0.38976170845856456</v>
      </c>
      <c r="H160" s="9">
        <v>6.2942257424442264E-3</v>
      </c>
      <c r="I160" s="3">
        <f t="shared" si="9"/>
        <v>3</v>
      </c>
      <c r="J160" s="14">
        <f t="shared" si="10"/>
        <v>172</v>
      </c>
      <c r="K160" s="15">
        <f t="shared" si="11"/>
        <v>2.3053611281175117</v>
      </c>
      <c r="L160" s="14">
        <f t="shared" si="12"/>
        <v>3</v>
      </c>
    </row>
    <row r="161" spans="1:12" x14ac:dyDescent="0.3">
      <c r="A161" s="8">
        <v>42388</v>
      </c>
      <c r="B161" s="5">
        <v>-0.74742769278575105</v>
      </c>
      <c r="C161" s="5">
        <v>0.20910203981839387</v>
      </c>
      <c r="D161" s="5">
        <v>-0.1705978534006786</v>
      </c>
      <c r="E161" s="5">
        <v>0.14184984145316354</v>
      </c>
      <c r="F161" s="5">
        <v>0.19514640958834456</v>
      </c>
      <c r="G161" s="5">
        <v>0.14831479533069697</v>
      </c>
      <c r="H161" s="9">
        <v>-5.8929739694363551E-3</v>
      </c>
      <c r="I161" s="3">
        <f t="shared" si="9"/>
        <v>1</v>
      </c>
      <c r="J161" s="14">
        <f t="shared" si="10"/>
        <v>112</v>
      </c>
      <c r="K161" s="15">
        <f t="shared" si="11"/>
        <v>1.8972103745820335</v>
      </c>
      <c r="L161" s="14">
        <f t="shared" si="12"/>
        <v>1</v>
      </c>
    </row>
    <row r="162" spans="1:12" x14ac:dyDescent="0.3">
      <c r="A162" s="8">
        <v>42389</v>
      </c>
      <c r="B162" s="5">
        <v>-0.55797855050662015</v>
      </c>
      <c r="C162" s="5">
        <v>0.50324381766152204</v>
      </c>
      <c r="D162" s="5">
        <v>-0.12203537882894318</v>
      </c>
      <c r="E162" s="5">
        <v>8.5985683094096335E-2</v>
      </c>
      <c r="F162" s="5">
        <v>0.19211233638980324</v>
      </c>
      <c r="G162" s="5">
        <v>0.22745249940701209</v>
      </c>
      <c r="H162" s="9">
        <v>6.3991623783966386E-3</v>
      </c>
      <c r="I162" s="3">
        <f t="shared" si="9"/>
        <v>3</v>
      </c>
      <c r="J162" s="14">
        <f t="shared" si="10"/>
        <v>120</v>
      </c>
      <c r="K162" s="15">
        <f t="shared" si="11"/>
        <v>1.9906399027207704</v>
      </c>
      <c r="L162" s="14">
        <f t="shared" si="12"/>
        <v>3</v>
      </c>
    </row>
    <row r="163" spans="1:12" x14ac:dyDescent="0.3">
      <c r="A163" s="8">
        <v>42390</v>
      </c>
      <c r="B163" s="5">
        <v>-0.40297470682369479</v>
      </c>
      <c r="C163" s="5">
        <v>0.83199051054501805</v>
      </c>
      <c r="D163" s="5">
        <v>-0.16023311224039832</v>
      </c>
      <c r="E163" s="5">
        <v>-1.2844829800512336E-2</v>
      </c>
      <c r="F163" s="5">
        <v>0.38762424151262537</v>
      </c>
      <c r="G163" s="5">
        <v>0.18311487427224718</v>
      </c>
      <c r="H163" s="9">
        <v>2.4604879744440922E-3</v>
      </c>
      <c r="I163" s="3">
        <f t="shared" si="9"/>
        <v>3</v>
      </c>
      <c r="J163" s="14">
        <f t="shared" si="10"/>
        <v>158</v>
      </c>
      <c r="K163" s="15">
        <f t="shared" si="11"/>
        <v>2.2359758605137827</v>
      </c>
      <c r="L163" s="14">
        <f t="shared" si="12"/>
        <v>3</v>
      </c>
    </row>
    <row r="164" spans="1:12" x14ac:dyDescent="0.3">
      <c r="A164" s="8">
        <v>42391</v>
      </c>
      <c r="B164" s="5">
        <v>-5.3418713662200655E-2</v>
      </c>
      <c r="C164" s="5">
        <v>0.74547822294409816</v>
      </c>
      <c r="D164" s="5">
        <v>-0.2869505635832954</v>
      </c>
      <c r="E164" s="5">
        <v>-5.4905054386479656E-2</v>
      </c>
      <c r="F164" s="5">
        <v>0.60499034846771937</v>
      </c>
      <c r="G164" s="5">
        <v>-9.2484304598353887E-3</v>
      </c>
      <c r="H164" s="9">
        <v>-3.1061884061752919E-3</v>
      </c>
      <c r="I164" s="3">
        <f t="shared" si="9"/>
        <v>1</v>
      </c>
      <c r="J164" s="14">
        <f t="shared" si="10"/>
        <v>150</v>
      </c>
      <c r="K164" s="15">
        <f t="shared" si="11"/>
        <v>2.1465435791677496</v>
      </c>
      <c r="L164" s="14">
        <f t="shared" si="12"/>
        <v>1</v>
      </c>
    </row>
    <row r="165" spans="1:12" x14ac:dyDescent="0.3">
      <c r="A165" s="8">
        <v>42394</v>
      </c>
      <c r="B165" s="5">
        <v>0.23936632440554712</v>
      </c>
      <c r="C165" s="5">
        <v>0.31291678493949793</v>
      </c>
      <c r="D165" s="5">
        <v>-0.6149170801119338</v>
      </c>
      <c r="E165" s="5">
        <v>-5.1272221469379618E-2</v>
      </c>
      <c r="F165" s="5">
        <v>0.60224470635935012</v>
      </c>
      <c r="G165" s="5">
        <v>-1.5042746157863629E-2</v>
      </c>
      <c r="H165" s="9">
        <v>1.7204302136164529E-4</v>
      </c>
      <c r="I165" s="3">
        <f t="shared" si="9"/>
        <v>2</v>
      </c>
      <c r="J165" s="14">
        <f t="shared" si="10"/>
        <v>108</v>
      </c>
      <c r="K165" s="15">
        <f t="shared" si="11"/>
        <v>1.8685748012418504</v>
      </c>
      <c r="L165" s="14">
        <f t="shared" si="12"/>
        <v>2</v>
      </c>
    </row>
    <row r="166" spans="1:12" x14ac:dyDescent="0.3">
      <c r="A166" s="8">
        <v>42395</v>
      </c>
      <c r="B166" s="5">
        <v>6.7777707324448738E-2</v>
      </c>
      <c r="C166" s="5">
        <v>-6.7737280504550232E-2</v>
      </c>
      <c r="D166" s="5">
        <v>-0.72712266626535826</v>
      </c>
      <c r="E166" s="5">
        <v>-0.31760792169375379</v>
      </c>
      <c r="F166" s="5">
        <v>0.72442300680591176</v>
      </c>
      <c r="G166" s="5">
        <v>0.2295320719043378</v>
      </c>
      <c r="H166" s="9">
        <v>3.3145110963573644E-3</v>
      </c>
      <c r="I166" s="3">
        <f t="shared" si="9"/>
        <v>3</v>
      </c>
      <c r="J166" s="14">
        <f t="shared" si="10"/>
        <v>129</v>
      </c>
      <c r="K166" s="15">
        <f t="shared" si="11"/>
        <v>2.0247953143318957</v>
      </c>
      <c r="L166" s="14">
        <f t="shared" si="12"/>
        <v>3</v>
      </c>
    </row>
    <row r="167" spans="1:12" x14ac:dyDescent="0.3">
      <c r="A167" s="8">
        <v>42396</v>
      </c>
      <c r="B167" s="5">
        <v>0.30825692159795837</v>
      </c>
      <c r="C167" s="5">
        <v>0.29561432741931393</v>
      </c>
      <c r="D167" s="5">
        <v>-0.50373651080045556</v>
      </c>
      <c r="E167" s="5">
        <v>-0.31828128431683178</v>
      </c>
      <c r="F167" s="5">
        <v>0.89223998052047659</v>
      </c>
      <c r="G167" s="5">
        <v>6.1952713373261095E-2</v>
      </c>
      <c r="H167" s="9">
        <v>-4.998105860715185E-3</v>
      </c>
      <c r="I167" s="3">
        <f t="shared" si="9"/>
        <v>1</v>
      </c>
      <c r="J167" s="14">
        <f t="shared" si="10"/>
        <v>153</v>
      </c>
      <c r="K167" s="15">
        <f t="shared" si="11"/>
        <v>2.1538751059642456</v>
      </c>
      <c r="L167" s="14">
        <f t="shared" si="12"/>
        <v>1</v>
      </c>
    </row>
    <row r="168" spans="1:12" x14ac:dyDescent="0.3">
      <c r="A168" s="8">
        <v>42397</v>
      </c>
      <c r="B168" s="5">
        <v>0.37714751879036956</v>
      </c>
      <c r="C168" s="5">
        <v>0.27831186989912993</v>
      </c>
      <c r="D168" s="5">
        <v>-0.24684805835576826</v>
      </c>
      <c r="E168" s="5">
        <v>2.7453013599127309E-2</v>
      </c>
      <c r="F168" s="5">
        <v>0.15321851323044022</v>
      </c>
      <c r="G168" s="5">
        <v>0.34614766060369112</v>
      </c>
      <c r="H168" s="9">
        <v>1.9122266487965334E-3</v>
      </c>
      <c r="I168" s="3">
        <f t="shared" si="9"/>
        <v>2</v>
      </c>
      <c r="J168" s="14">
        <f t="shared" si="10"/>
        <v>83</v>
      </c>
      <c r="K168" s="15">
        <f t="shared" si="11"/>
        <v>1.613102552290941</v>
      </c>
      <c r="L168" s="14">
        <f t="shared" si="12"/>
        <v>2</v>
      </c>
    </row>
    <row r="169" spans="1:12" x14ac:dyDescent="0.3">
      <c r="A169" s="8">
        <v>42398</v>
      </c>
      <c r="B169" s="5">
        <v>0.22852243410674164</v>
      </c>
      <c r="C169" s="5">
        <v>0.46863890262115399</v>
      </c>
      <c r="D169" s="5">
        <v>0.34536002544780758</v>
      </c>
      <c r="E169" s="5">
        <v>-3.4094399586163116E-3</v>
      </c>
      <c r="F169" s="5">
        <v>-0.17393999754901654</v>
      </c>
      <c r="G169" s="5">
        <v>0.50617788609653047</v>
      </c>
      <c r="H169" s="9">
        <v>2.42008138681733E-3</v>
      </c>
      <c r="I169" s="3">
        <f t="shared" si="9"/>
        <v>3</v>
      </c>
      <c r="J169" s="14">
        <f t="shared" si="10"/>
        <v>101</v>
      </c>
      <c r="K169" s="15">
        <f t="shared" si="11"/>
        <v>1.7935474252226478</v>
      </c>
      <c r="L169" s="14">
        <f t="shared" si="12"/>
        <v>3</v>
      </c>
    </row>
    <row r="170" spans="1:12" x14ac:dyDescent="0.3">
      <c r="A170" s="8">
        <v>42401</v>
      </c>
      <c r="B170" s="5">
        <v>0.18387112111166026</v>
      </c>
      <c r="C170" s="5">
        <v>0.33021924245968198</v>
      </c>
      <c r="D170" s="5">
        <v>0.55008923763584572</v>
      </c>
      <c r="E170" s="5">
        <v>0.39793546619290526</v>
      </c>
      <c r="F170" s="5">
        <v>-0.67977047518663114</v>
      </c>
      <c r="G170" s="5">
        <v>0.36494927496307483</v>
      </c>
      <c r="H170" s="9">
        <v>-5.7570481624559019E-3</v>
      </c>
      <c r="I170" s="3">
        <f t="shared" si="9"/>
        <v>1</v>
      </c>
      <c r="J170" s="14">
        <f t="shared" si="10"/>
        <v>77</v>
      </c>
      <c r="K170" s="15">
        <f t="shared" si="11"/>
        <v>1.5403009027085082</v>
      </c>
      <c r="L170" s="14">
        <f t="shared" si="12"/>
        <v>1</v>
      </c>
    </row>
    <row r="171" spans="1:12" x14ac:dyDescent="0.3">
      <c r="A171" s="8">
        <v>42402</v>
      </c>
      <c r="B171" s="5">
        <v>0.25786472550350942</v>
      </c>
      <c r="C171" s="5">
        <v>0.29561432741931393</v>
      </c>
      <c r="D171" s="5">
        <v>0.57862807980812148</v>
      </c>
      <c r="E171" s="5">
        <v>0.4792294549716728</v>
      </c>
      <c r="F171" s="5">
        <v>-0.84234022176075707</v>
      </c>
      <c r="G171" s="5">
        <v>0.17261445752547622</v>
      </c>
      <c r="H171" s="9">
        <v>-4.5496275051874592E-3</v>
      </c>
      <c r="I171" s="3">
        <f t="shared" si="9"/>
        <v>1</v>
      </c>
      <c r="J171" s="14">
        <f t="shared" si="10"/>
        <v>68</v>
      </c>
      <c r="K171" s="15">
        <f t="shared" si="11"/>
        <v>1.4322019111377442</v>
      </c>
      <c r="L171" s="14">
        <f t="shared" si="12"/>
        <v>1</v>
      </c>
    </row>
    <row r="172" spans="1:12" x14ac:dyDescent="0.3">
      <c r="A172" s="8">
        <v>42403</v>
      </c>
      <c r="B172" s="5">
        <v>3.7797540027751243E-2</v>
      </c>
      <c r="C172" s="5">
        <v>-0.29266922826694231</v>
      </c>
      <c r="D172" s="5">
        <v>0.37049442046439707</v>
      </c>
      <c r="E172" s="5">
        <v>0.54129935651750238</v>
      </c>
      <c r="F172" s="5">
        <v>-1.2298252044000588</v>
      </c>
      <c r="G172" s="5">
        <v>0.23776490001018918</v>
      </c>
      <c r="H172" s="9">
        <v>1.3913099586719824E-3</v>
      </c>
      <c r="I172" s="3">
        <f t="shared" si="9"/>
        <v>2</v>
      </c>
      <c r="J172" s="14">
        <f t="shared" si="10"/>
        <v>49</v>
      </c>
      <c r="K172" s="15">
        <f t="shared" si="11"/>
        <v>1.2197615188757676</v>
      </c>
      <c r="L172" s="14">
        <f t="shared" si="12"/>
        <v>2</v>
      </c>
    </row>
    <row r="173" spans="1:12" x14ac:dyDescent="0.3">
      <c r="A173" s="8">
        <v>42404</v>
      </c>
      <c r="B173" s="5">
        <v>6.1398948325151394E-2</v>
      </c>
      <c r="C173" s="5">
        <v>-0.56950854858988642</v>
      </c>
      <c r="D173" s="5">
        <v>0.23146653730914193</v>
      </c>
      <c r="E173" s="5">
        <v>0.37144155656636552</v>
      </c>
      <c r="F173" s="5">
        <v>-0.77594560350382957</v>
      </c>
      <c r="G173" s="5">
        <v>-0.11495338537184929</v>
      </c>
      <c r="H173" s="9">
        <v>2.0654228311698828E-3</v>
      </c>
      <c r="I173" s="3">
        <f t="shared" si="9"/>
        <v>3</v>
      </c>
      <c r="J173" s="14">
        <f t="shared" si="10"/>
        <v>13</v>
      </c>
      <c r="K173" s="15">
        <f t="shared" si="11"/>
        <v>0.73737834522768841</v>
      </c>
      <c r="L173" s="14">
        <f t="shared" si="12"/>
        <v>3</v>
      </c>
    </row>
    <row r="174" spans="1:12" x14ac:dyDescent="0.3">
      <c r="A174" s="8">
        <v>42405</v>
      </c>
      <c r="B174" s="5">
        <v>0.1181699034188977</v>
      </c>
      <c r="C174" s="5">
        <v>-0.93286015651375054</v>
      </c>
      <c r="D174" s="5">
        <v>-0.27774587142378088</v>
      </c>
      <c r="E174" s="5">
        <v>0.54101671047818578</v>
      </c>
      <c r="F174" s="5">
        <v>-0.78596303713557658</v>
      </c>
      <c r="G174" s="5">
        <v>-0.22390589185502954</v>
      </c>
      <c r="H174" s="9">
        <v>3.5760850555696779E-3</v>
      </c>
      <c r="I174" s="3">
        <f t="shared" si="9"/>
        <v>3</v>
      </c>
      <c r="J174" s="14">
        <f t="shared" si="10"/>
        <v>2</v>
      </c>
      <c r="K174" s="15">
        <f t="shared" si="11"/>
        <v>0.53092078531467568</v>
      </c>
      <c r="L174" s="14">
        <f t="shared" si="12"/>
        <v>3</v>
      </c>
    </row>
    <row r="175" spans="1:12" x14ac:dyDescent="0.3">
      <c r="A175" s="8">
        <v>42411</v>
      </c>
      <c r="B175" s="5">
        <v>-8.0847377359179212E-2</v>
      </c>
      <c r="C175" s="5">
        <v>-0.81174295387246254</v>
      </c>
      <c r="D175" s="5">
        <v>-0.18509948888114963</v>
      </c>
      <c r="E175" s="5">
        <v>7.9254975298640677E-3</v>
      </c>
      <c r="F175" s="5">
        <v>-0.41348201793695888</v>
      </c>
      <c r="G175" s="5">
        <v>-2.0472424486497755E-2</v>
      </c>
      <c r="H175" s="9">
        <v>9.8422965806566516E-3</v>
      </c>
      <c r="I175" s="3">
        <f t="shared" si="9"/>
        <v>3</v>
      </c>
      <c r="J175" s="14">
        <f t="shared" si="10"/>
        <v>24</v>
      </c>
      <c r="K175" s="15">
        <f t="shared" si="11"/>
        <v>0.97533479909197129</v>
      </c>
      <c r="L175" s="14">
        <f t="shared" si="12"/>
        <v>3</v>
      </c>
    </row>
    <row r="176" spans="1:12" x14ac:dyDescent="0.3">
      <c r="A176" s="8">
        <v>42412</v>
      </c>
      <c r="B176" s="5">
        <v>-0.24031635234161267</v>
      </c>
      <c r="C176" s="5">
        <v>-0.63871837867062242</v>
      </c>
      <c r="D176" s="5">
        <v>-1.2020561036864773E-3</v>
      </c>
      <c r="E176" s="5">
        <v>-0.22953042797138518</v>
      </c>
      <c r="F176" s="5">
        <v>-4.9093709518362873E-2</v>
      </c>
      <c r="G176" s="5">
        <v>-6.9732654108083089E-2</v>
      </c>
      <c r="H176" s="9">
        <v>1.0347134879837938E-2</v>
      </c>
      <c r="I176" s="3">
        <f t="shared" si="9"/>
        <v>3</v>
      </c>
      <c r="J176" s="14">
        <f t="shared" si="10"/>
        <v>60</v>
      </c>
      <c r="K176" s="15">
        <f t="shared" si="11"/>
        <v>1.3295439428133873</v>
      </c>
      <c r="L176" s="14">
        <f t="shared" si="12"/>
        <v>3</v>
      </c>
    </row>
    <row r="177" spans="1:12" x14ac:dyDescent="0.3">
      <c r="A177" s="8">
        <v>42415</v>
      </c>
      <c r="B177" s="5">
        <v>-0.16440912024997434</v>
      </c>
      <c r="C177" s="5">
        <v>-0.62141592115043842</v>
      </c>
      <c r="D177" s="5">
        <v>1.6472835109037763E-2</v>
      </c>
      <c r="E177" s="5">
        <v>-0.25081616866757439</v>
      </c>
      <c r="F177" s="5">
        <v>0.15089997100559518</v>
      </c>
      <c r="G177" s="5">
        <v>-0.12278739135492586</v>
      </c>
      <c r="H177" s="9">
        <v>3.6067959020432026E-3</v>
      </c>
      <c r="I177" s="3">
        <f t="shared" si="9"/>
        <v>3</v>
      </c>
      <c r="J177" s="14">
        <f t="shared" si="10"/>
        <v>63</v>
      </c>
      <c r="K177" s="15">
        <f t="shared" si="11"/>
        <v>1.3916652850613198</v>
      </c>
      <c r="L177" s="14">
        <f t="shared" si="12"/>
        <v>3</v>
      </c>
    </row>
    <row r="178" spans="1:12" x14ac:dyDescent="0.3">
      <c r="A178" s="8">
        <v>42416</v>
      </c>
      <c r="B178" s="5">
        <v>-6.1711100361287199E-2</v>
      </c>
      <c r="C178" s="5">
        <v>-0.46569380346878236</v>
      </c>
      <c r="D178" s="5">
        <v>-0.121746901035102</v>
      </c>
      <c r="E178" s="5">
        <v>-0.22128381411838002</v>
      </c>
      <c r="F178" s="5">
        <v>6.4775556830548114E-2</v>
      </c>
      <c r="G178" s="5">
        <v>-0.21047128377641539</v>
      </c>
      <c r="H178" s="9">
        <v>2.2137305618379344E-3</v>
      </c>
      <c r="I178" s="3">
        <f t="shared" si="9"/>
        <v>3</v>
      </c>
      <c r="J178" s="14">
        <f t="shared" si="10"/>
        <v>55</v>
      </c>
      <c r="K178" s="15">
        <f t="shared" si="11"/>
        <v>1.2766612886520827</v>
      </c>
      <c r="L178" s="14">
        <f t="shared" si="12"/>
        <v>3</v>
      </c>
    </row>
    <row r="179" spans="1:12" x14ac:dyDescent="0.3">
      <c r="A179" s="8">
        <v>42417</v>
      </c>
      <c r="B179" s="5">
        <v>7.3518590423816296E-2</v>
      </c>
      <c r="C179" s="5">
        <v>-0.13694711058528627</v>
      </c>
      <c r="D179" s="5">
        <v>-3.1477467557643247E-3</v>
      </c>
      <c r="E179" s="5">
        <v>-0.35694559987159685</v>
      </c>
      <c r="F179" s="5">
        <v>0.20200219473166645</v>
      </c>
      <c r="G179" s="5">
        <v>-0.334271368144612</v>
      </c>
      <c r="H179" s="9">
        <v>-2.2062166864547095E-3</v>
      </c>
      <c r="I179" s="3">
        <f t="shared" si="9"/>
        <v>1</v>
      </c>
      <c r="J179" s="14">
        <f t="shared" si="10"/>
        <v>71</v>
      </c>
      <c r="K179" s="15">
        <f t="shared" si="11"/>
        <v>1.4904749500721959</v>
      </c>
      <c r="L179" s="14">
        <f t="shared" si="12"/>
        <v>1</v>
      </c>
    </row>
    <row r="180" spans="1:12" x14ac:dyDescent="0.3">
      <c r="A180" s="8">
        <v>42418</v>
      </c>
      <c r="B180" s="5">
        <v>0.40266255478755897</v>
      </c>
      <c r="C180" s="5">
        <v>-3.313236546418221E-2</v>
      </c>
      <c r="D180" s="5">
        <v>-0.17251285492575208</v>
      </c>
      <c r="E180" s="5">
        <v>-0.31266577256511308</v>
      </c>
      <c r="F180" s="5">
        <v>0.24765750825487193</v>
      </c>
      <c r="G180" s="5">
        <v>-0.47277089646650855</v>
      </c>
      <c r="H180" s="9">
        <v>-1.3524988144595796E-3</v>
      </c>
      <c r="I180" s="3">
        <f t="shared" si="9"/>
        <v>2</v>
      </c>
      <c r="J180" s="14">
        <f t="shared" si="10"/>
        <v>69</v>
      </c>
      <c r="K180" s="15">
        <f t="shared" si="11"/>
        <v>1.4711938525610544</v>
      </c>
      <c r="L180" s="14">
        <f t="shared" si="12"/>
        <v>2</v>
      </c>
    </row>
    <row r="181" spans="1:12" x14ac:dyDescent="0.3">
      <c r="A181" s="8">
        <v>42419</v>
      </c>
      <c r="B181" s="5">
        <v>0.72478988425207447</v>
      </c>
      <c r="C181" s="5">
        <v>-0.17155202562565428</v>
      </c>
      <c r="D181" s="5">
        <v>-0.3349197150329461</v>
      </c>
      <c r="E181" s="5">
        <v>-0.14615400293235772</v>
      </c>
      <c r="F181" s="5">
        <v>-0.12067454064665442</v>
      </c>
      <c r="G181" s="5">
        <v>-0.37285455979362608</v>
      </c>
      <c r="H181" s="9">
        <v>-3.04832319372359E-3</v>
      </c>
      <c r="I181" s="3">
        <f t="shared" si="9"/>
        <v>1</v>
      </c>
      <c r="J181" s="14">
        <f t="shared" si="10"/>
        <v>38</v>
      </c>
      <c r="K181" s="15">
        <f t="shared" si="11"/>
        <v>1.1421305039598262</v>
      </c>
      <c r="L181" s="14">
        <f t="shared" si="12"/>
        <v>1</v>
      </c>
    </row>
    <row r="182" spans="1:12" x14ac:dyDescent="0.3">
      <c r="A182" s="8">
        <v>42422</v>
      </c>
      <c r="B182" s="5">
        <v>0.76625181774750728</v>
      </c>
      <c r="C182" s="5">
        <v>1.4725495761858053E-3</v>
      </c>
      <c r="D182" s="5">
        <v>-0.3517925970599558</v>
      </c>
      <c r="E182" s="5">
        <v>-0.17299290698923991</v>
      </c>
      <c r="F182" s="5">
        <v>-0.32783462441104272</v>
      </c>
      <c r="G182" s="5">
        <v>-0.28644689816501595</v>
      </c>
      <c r="H182" s="9">
        <v>5.0998752665449838E-4</v>
      </c>
      <c r="I182" s="3">
        <f t="shared" si="9"/>
        <v>2</v>
      </c>
      <c r="J182" s="14">
        <f t="shared" si="10"/>
        <v>48</v>
      </c>
      <c r="K182" s="15">
        <f t="shared" si="11"/>
        <v>1.2091785500010104</v>
      </c>
      <c r="L182" s="14">
        <f t="shared" si="12"/>
        <v>2</v>
      </c>
    </row>
    <row r="183" spans="1:12" x14ac:dyDescent="0.3">
      <c r="A183" s="8">
        <v>42423</v>
      </c>
      <c r="B183" s="5">
        <v>0.75540792744870167</v>
      </c>
      <c r="C183" s="5">
        <v>-0.10234219554491823</v>
      </c>
      <c r="D183" s="5">
        <v>-0.41875013435811825</v>
      </c>
      <c r="E183" s="5">
        <v>-0.21381447687349581</v>
      </c>
      <c r="F183" s="5">
        <v>-0.39564366436016041</v>
      </c>
      <c r="G183" s="5">
        <v>-0.19223941530670996</v>
      </c>
      <c r="H183" s="9">
        <v>2.6913778721223023E-3</v>
      </c>
      <c r="I183" s="3">
        <f t="shared" si="9"/>
        <v>3</v>
      </c>
      <c r="J183" s="14">
        <f t="shared" si="10"/>
        <v>46</v>
      </c>
      <c r="K183" s="15">
        <f t="shared" si="11"/>
        <v>1.1929295477051711</v>
      </c>
      <c r="L183" s="14">
        <f t="shared" si="12"/>
        <v>3</v>
      </c>
    </row>
    <row r="184" spans="1:12" x14ac:dyDescent="0.3">
      <c r="A184" s="8">
        <v>42424</v>
      </c>
      <c r="B184" s="5">
        <v>0.59593895246626827</v>
      </c>
      <c r="C184" s="5">
        <v>-0.34457660082749431</v>
      </c>
      <c r="D184" s="5">
        <v>-0.63475657774936711</v>
      </c>
      <c r="E184" s="5">
        <v>-0.28168693534412143</v>
      </c>
      <c r="F184" s="5">
        <v>-0.51575857316164453</v>
      </c>
      <c r="G184" s="5">
        <v>2.8360495717828876E-2</v>
      </c>
      <c r="H184" s="9">
        <v>8.0278335180690163E-3</v>
      </c>
      <c r="I184" s="3">
        <f t="shared" si="9"/>
        <v>3</v>
      </c>
      <c r="J184" s="14">
        <f t="shared" si="10"/>
        <v>51</v>
      </c>
      <c r="K184" s="15">
        <f t="shared" si="11"/>
        <v>1.2358172662338329</v>
      </c>
      <c r="L184" s="14">
        <f t="shared" si="12"/>
        <v>3</v>
      </c>
    </row>
    <row r="185" spans="1:12" x14ac:dyDescent="0.3">
      <c r="A185" s="8">
        <v>42425</v>
      </c>
      <c r="B185" s="5">
        <v>0.45241687498207828</v>
      </c>
      <c r="C185" s="5">
        <v>-0.51760117602933442</v>
      </c>
      <c r="D185" s="5">
        <v>-0.81653032293812688</v>
      </c>
      <c r="E185" s="5">
        <v>-0.17327970958795835</v>
      </c>
      <c r="F185" s="5">
        <v>-0.62137981968197986</v>
      </c>
      <c r="G185" s="5">
        <v>-7.1460681269224276E-3</v>
      </c>
      <c r="H185" s="9">
        <v>6.0154910474555122E-3</v>
      </c>
      <c r="I185" s="3">
        <f t="shared" si="9"/>
        <v>3</v>
      </c>
      <c r="J185" s="14">
        <f t="shared" si="10"/>
        <v>44</v>
      </c>
      <c r="K185" s="15">
        <f t="shared" si="11"/>
        <v>1.1807243134505132</v>
      </c>
      <c r="L185" s="14">
        <f t="shared" si="12"/>
        <v>3</v>
      </c>
    </row>
    <row r="186" spans="1:12" x14ac:dyDescent="0.3">
      <c r="A186" s="8">
        <v>42426</v>
      </c>
      <c r="B186" s="5">
        <v>0.24000420030547684</v>
      </c>
      <c r="C186" s="5">
        <v>-0.62141592115043842</v>
      </c>
      <c r="D186" s="5">
        <v>-0.81552371957238312</v>
      </c>
      <c r="E186" s="5">
        <v>-0.15381454190972088</v>
      </c>
      <c r="F186" s="5">
        <v>-0.69326572215564553</v>
      </c>
      <c r="G186" s="5">
        <v>4.551554445604232E-2</v>
      </c>
      <c r="H186" s="9">
        <v>8.51903311004314E-3</v>
      </c>
      <c r="I186" s="3">
        <f t="shared" si="9"/>
        <v>3</v>
      </c>
      <c r="J186" s="14">
        <f t="shared" si="10"/>
        <v>47</v>
      </c>
      <c r="K186" s="15">
        <f t="shared" si="11"/>
        <v>1.1987881627180916</v>
      </c>
      <c r="L186" s="14">
        <f t="shared" si="12"/>
        <v>3</v>
      </c>
    </row>
    <row r="187" spans="1:12" x14ac:dyDescent="0.3">
      <c r="A187" s="8">
        <v>42429</v>
      </c>
      <c r="B187" s="5">
        <v>0.16473484411376829</v>
      </c>
      <c r="C187" s="5">
        <v>-0.75983558131191054</v>
      </c>
      <c r="D187" s="5">
        <v>-0.58273441559333761</v>
      </c>
      <c r="E187" s="5">
        <v>5.4495589066693606E-2</v>
      </c>
      <c r="F187" s="5">
        <v>-0.83579505471454374</v>
      </c>
      <c r="G187" s="5">
        <v>-9.1183586854470852E-2</v>
      </c>
      <c r="H187" s="9">
        <v>2.3628966827523358E-3</v>
      </c>
      <c r="I187" s="3">
        <f t="shared" si="9"/>
        <v>3</v>
      </c>
      <c r="J187" s="14">
        <f t="shared" si="10"/>
        <v>23</v>
      </c>
      <c r="K187" s="15">
        <f t="shared" si="11"/>
        <v>0.91808166522035184</v>
      </c>
      <c r="L187" s="14">
        <f t="shared" si="12"/>
        <v>3</v>
      </c>
    </row>
    <row r="188" spans="1:12" x14ac:dyDescent="0.3">
      <c r="A188" s="8">
        <v>42431</v>
      </c>
      <c r="B188" s="5">
        <v>0.16983785131320614</v>
      </c>
      <c r="C188" s="5">
        <v>-0.84634786891283054</v>
      </c>
      <c r="D188" s="5">
        <v>-0.40126346979102101</v>
      </c>
      <c r="E188" s="5">
        <v>0.20790588346523914</v>
      </c>
      <c r="F188" s="5">
        <v>-0.83811914369112284</v>
      </c>
      <c r="G188" s="5">
        <v>-0.24779533700924042</v>
      </c>
      <c r="H188" s="9">
        <v>-5.0188232108538955E-4</v>
      </c>
      <c r="I188" s="3">
        <f t="shared" si="9"/>
        <v>2</v>
      </c>
      <c r="J188" s="14">
        <f t="shared" si="10"/>
        <v>11</v>
      </c>
      <c r="K188" s="15">
        <f t="shared" si="11"/>
        <v>0.69206407584233276</v>
      </c>
      <c r="L188" s="14">
        <f t="shared" si="12"/>
        <v>2</v>
      </c>
    </row>
    <row r="189" spans="1:12" x14ac:dyDescent="0.3">
      <c r="A189" s="8">
        <v>42432</v>
      </c>
      <c r="B189" s="5">
        <v>0.36183849719205596</v>
      </c>
      <c r="C189" s="5">
        <v>-0.84634786891283054</v>
      </c>
      <c r="D189" s="5">
        <v>-0.24064271687548197</v>
      </c>
      <c r="E189" s="5">
        <v>0.52335964613969499</v>
      </c>
      <c r="F189" s="5">
        <v>-1.0553909558667374</v>
      </c>
      <c r="G189" s="5">
        <v>-0.4102811672865932</v>
      </c>
      <c r="H189" s="9">
        <v>8.1799705030505265E-4</v>
      </c>
      <c r="I189" s="3">
        <f t="shared" si="9"/>
        <v>2</v>
      </c>
      <c r="J189" s="14">
        <f t="shared" si="10"/>
        <v>1</v>
      </c>
      <c r="K189" s="15">
        <f t="shared" si="11"/>
        <v>0.51810869602330967</v>
      </c>
      <c r="L189" s="14">
        <f t="shared" si="12"/>
        <v>2</v>
      </c>
    </row>
    <row r="190" spans="1:12" x14ac:dyDescent="0.3">
      <c r="A190" s="8">
        <v>42433</v>
      </c>
      <c r="B190" s="5">
        <v>0.49068942897786216</v>
      </c>
      <c r="C190" s="5">
        <v>-0.65602083619080642</v>
      </c>
      <c r="D190" s="5">
        <v>-0.10181533601665546</v>
      </c>
      <c r="E190" s="5">
        <v>0.66369340466044091</v>
      </c>
      <c r="F190" s="5">
        <v>-1.1660320127064143</v>
      </c>
      <c r="G190" s="5">
        <v>-0.44269970840928813</v>
      </c>
      <c r="H190" s="9">
        <v>5.5198308701857714E-3</v>
      </c>
      <c r="I190" s="3">
        <f t="shared" si="9"/>
        <v>3</v>
      </c>
      <c r="J190" s="14">
        <f t="shared" si="10"/>
        <v>3</v>
      </c>
      <c r="K190" s="15">
        <f t="shared" si="11"/>
        <v>0.57346419573077978</v>
      </c>
      <c r="L190" s="14">
        <f t="shared" si="12"/>
        <v>3</v>
      </c>
    </row>
    <row r="191" spans="1:12" x14ac:dyDescent="0.3">
      <c r="A191" s="8">
        <v>42436</v>
      </c>
      <c r="B191" s="5">
        <v>0.72096262885249607</v>
      </c>
      <c r="C191" s="5">
        <v>-0.63871837867062242</v>
      </c>
      <c r="D191" s="5">
        <v>-0.19586318869248681</v>
      </c>
      <c r="E191" s="5">
        <v>0.72520217068703885</v>
      </c>
      <c r="F191" s="5">
        <v>-1.0938687726460448</v>
      </c>
      <c r="G191" s="5">
        <v>-0.55520173178516419</v>
      </c>
      <c r="H191" s="9">
        <v>5.1657431757423213E-3</v>
      </c>
      <c r="I191" s="3">
        <f t="shared" si="9"/>
        <v>3</v>
      </c>
      <c r="J191" s="14">
        <f t="shared" si="10"/>
        <v>5</v>
      </c>
      <c r="K191" s="15">
        <f t="shared" si="11"/>
        <v>0.58180401579083874</v>
      </c>
      <c r="L191" s="14">
        <f t="shared" si="12"/>
        <v>3</v>
      </c>
    </row>
    <row r="192" spans="1:12" x14ac:dyDescent="0.3">
      <c r="A192" s="8">
        <v>42437</v>
      </c>
      <c r="B192" s="5">
        <v>0.71968687705263668</v>
      </c>
      <c r="C192" s="5">
        <v>-0.29266922826694236</v>
      </c>
      <c r="D192" s="5">
        <v>-0.34414895849406413</v>
      </c>
      <c r="E192" s="5">
        <v>0.38426869888006204</v>
      </c>
      <c r="F192" s="5">
        <v>-0.78408268829772365</v>
      </c>
      <c r="G192" s="5">
        <v>-0.3616362632258604</v>
      </c>
      <c r="H192" s="9">
        <v>9.9816214541547758E-3</v>
      </c>
      <c r="I192" s="3">
        <f t="shared" si="9"/>
        <v>3</v>
      </c>
      <c r="J192" s="14">
        <f t="shared" si="10"/>
        <v>8</v>
      </c>
      <c r="K192" s="15">
        <f t="shared" si="11"/>
        <v>0.6417629873991233</v>
      </c>
      <c r="L192" s="14">
        <f t="shared" si="12"/>
        <v>3</v>
      </c>
    </row>
    <row r="193" spans="1:12" x14ac:dyDescent="0.3">
      <c r="A193" s="8">
        <v>42438</v>
      </c>
      <c r="B193" s="5">
        <v>0.62017823666359817</v>
      </c>
      <c r="C193" s="5">
        <v>-0.10234219554491822</v>
      </c>
      <c r="D193" s="5">
        <v>-0.45256750637514787</v>
      </c>
      <c r="E193" s="5">
        <v>0.2202841173635503</v>
      </c>
      <c r="F193" s="5">
        <v>-0.78046065941537002</v>
      </c>
      <c r="G193" s="5">
        <v>-0.14555443710647045</v>
      </c>
      <c r="H193" s="9">
        <v>1.0124610615119423E-2</v>
      </c>
      <c r="I193" s="3">
        <f t="shared" si="9"/>
        <v>3</v>
      </c>
      <c r="J193" s="14">
        <f t="shared" si="10"/>
        <v>21</v>
      </c>
      <c r="K193" s="15">
        <f t="shared" si="11"/>
        <v>0.9079718778843443</v>
      </c>
      <c r="L193" s="14">
        <f t="shared" si="12"/>
        <v>3</v>
      </c>
    </row>
    <row r="194" spans="1:12" x14ac:dyDescent="0.3">
      <c r="A194" s="8">
        <v>42439</v>
      </c>
      <c r="B194" s="5">
        <v>0.56021790207020317</v>
      </c>
      <c r="C194" s="5">
        <v>0.19179958229820987</v>
      </c>
      <c r="D194" s="5">
        <v>-0.3205040091080873</v>
      </c>
      <c r="E194" s="5">
        <v>0.52747048338799218</v>
      </c>
      <c r="F194" s="5">
        <v>-0.97623880862142798</v>
      </c>
      <c r="G194" s="5">
        <v>-0.35412701239990046</v>
      </c>
      <c r="H194" s="9">
        <v>6.1097998743328222E-3</v>
      </c>
      <c r="I194" s="3">
        <f t="shared" si="9"/>
        <v>3</v>
      </c>
      <c r="J194" s="14">
        <f t="shared" si="10"/>
        <v>30</v>
      </c>
      <c r="K194" s="15">
        <f t="shared" si="11"/>
        <v>1.0254188323865323</v>
      </c>
      <c r="L194" s="14">
        <f t="shared" si="12"/>
        <v>3</v>
      </c>
    </row>
    <row r="195" spans="1:12" x14ac:dyDescent="0.3">
      <c r="A195" s="8">
        <v>42440</v>
      </c>
      <c r="B195" s="5">
        <v>0.65845079065938217</v>
      </c>
      <c r="C195" s="5">
        <v>0.38212661502023393</v>
      </c>
      <c r="D195" s="5">
        <v>-0.1860140248658802</v>
      </c>
      <c r="E195" s="5">
        <v>0.60737618132658644</v>
      </c>
      <c r="F195" s="5">
        <v>-0.92117620415722412</v>
      </c>
      <c r="G195" s="5">
        <v>-0.5303038364062227</v>
      </c>
      <c r="H195" s="9">
        <v>3.8066176863658539E-3</v>
      </c>
      <c r="I195" s="3">
        <f t="shared" si="9"/>
        <v>3</v>
      </c>
      <c r="J195" s="14">
        <f t="shared" si="10"/>
        <v>43</v>
      </c>
      <c r="K195" s="15">
        <f t="shared" si="11"/>
        <v>1.1756719562596747</v>
      </c>
      <c r="L195" s="14">
        <f t="shared" si="12"/>
        <v>3</v>
      </c>
    </row>
    <row r="196" spans="1:12" x14ac:dyDescent="0.3">
      <c r="A196" s="8">
        <v>42443</v>
      </c>
      <c r="B196" s="5">
        <v>0.71203236625347976</v>
      </c>
      <c r="C196" s="5">
        <v>0.52054627518170604</v>
      </c>
      <c r="D196" s="5">
        <v>-1.0517229120416794E-2</v>
      </c>
      <c r="E196" s="5">
        <v>0.56161246231369</v>
      </c>
      <c r="F196" s="5">
        <v>-0.69592816298800364</v>
      </c>
      <c r="G196" s="5">
        <v>-0.58754620594220097</v>
      </c>
      <c r="H196" s="9">
        <v>1.9032657510507534E-3</v>
      </c>
      <c r="I196" s="3">
        <f t="shared" si="9"/>
        <v>2</v>
      </c>
      <c r="J196" s="14">
        <f t="shared" si="10"/>
        <v>58</v>
      </c>
      <c r="K196" s="15">
        <f t="shared" si="11"/>
        <v>1.2927632403274367</v>
      </c>
      <c r="L196" s="14">
        <f t="shared" si="12"/>
        <v>2</v>
      </c>
    </row>
    <row r="197" spans="1:12" x14ac:dyDescent="0.3">
      <c r="A197" s="8">
        <v>42444</v>
      </c>
      <c r="B197" s="5">
        <v>0.91360115063127567</v>
      </c>
      <c r="C197" s="5">
        <v>0.1744971247780259</v>
      </c>
      <c r="D197" s="5">
        <v>-9.9298827602296066E-2</v>
      </c>
      <c r="E197" s="5">
        <v>0.6383300791911678</v>
      </c>
      <c r="F197" s="5">
        <v>-0.66204305664451413</v>
      </c>
      <c r="G197" s="5">
        <v>-0.73377718598703201</v>
      </c>
      <c r="H197" s="9">
        <v>2.5377025636640128E-3</v>
      </c>
      <c r="I197" s="3">
        <f t="shared" si="9"/>
        <v>3</v>
      </c>
      <c r="J197" s="14">
        <f t="shared" si="10"/>
        <v>31</v>
      </c>
      <c r="K197" s="15">
        <f t="shared" si="11"/>
        <v>1.0508890018521271</v>
      </c>
      <c r="L197" s="14">
        <f t="shared" si="12"/>
        <v>3</v>
      </c>
    </row>
    <row r="198" spans="1:12" x14ac:dyDescent="0.3">
      <c r="A198" s="8">
        <v>42445</v>
      </c>
      <c r="B198" s="5">
        <v>1.0922064026116012</v>
      </c>
      <c r="C198" s="5">
        <v>-3.313236546418219E-2</v>
      </c>
      <c r="D198" s="5">
        <v>-0.17402480591616801</v>
      </c>
      <c r="E198" s="5">
        <v>0.59992347031930904</v>
      </c>
      <c r="F198" s="5">
        <v>-0.44640198947871879</v>
      </c>
      <c r="G198" s="5">
        <v>-0.78529930679064008</v>
      </c>
      <c r="H198" s="9">
        <v>3.6292909101398154E-3</v>
      </c>
      <c r="I198" s="3">
        <f t="shared" si="9"/>
        <v>3</v>
      </c>
      <c r="J198" s="14">
        <f t="shared" si="10"/>
        <v>29</v>
      </c>
      <c r="K198" s="15">
        <f t="shared" si="11"/>
        <v>1.0103281420308194</v>
      </c>
      <c r="L198" s="14">
        <f t="shared" si="12"/>
        <v>3</v>
      </c>
    </row>
    <row r="199" spans="1:12" x14ac:dyDescent="0.3">
      <c r="A199" s="8">
        <v>42446</v>
      </c>
      <c r="B199" s="5">
        <v>1.124100197608088</v>
      </c>
      <c r="C199" s="5">
        <v>3.6077464616553853E-2</v>
      </c>
      <c r="D199" s="5">
        <v>-0.24905153767468285</v>
      </c>
      <c r="E199" s="5">
        <v>0.28190926705339625</v>
      </c>
      <c r="F199" s="5">
        <v>-0.11590988090708043</v>
      </c>
      <c r="G199" s="5">
        <v>-0.57783773598208277</v>
      </c>
      <c r="H199" s="9">
        <v>2.9863030260248282E-3</v>
      </c>
      <c r="I199" s="3">
        <f t="shared" ref="I199:I231" si="13">IF(H199&lt;-0.2%,1,IF(ABS(H199)&lt;0.2%,2,3))</f>
        <v>3</v>
      </c>
      <c r="J199" s="14">
        <f t="shared" ref="J199:J231" si="14">RANK(K199, $K$6:$K$231, 1)</f>
        <v>45</v>
      </c>
      <c r="K199" s="15">
        <f t="shared" ref="K199:K231" si="15">SQRT(($K$3-B199)^2 + ($L$3-C199)^2 + ($M$3 - D199)^2 + ($N$3 - E199)^2 + ($O$3 - F199)^2 + ($P$3 - G199)^2)</f>
        <v>1.1924946371983312</v>
      </c>
      <c r="L199" s="14">
        <f t="shared" ref="L199:L231" si="16">I199</f>
        <v>3</v>
      </c>
    </row>
    <row r="200" spans="1:12" x14ac:dyDescent="0.3">
      <c r="A200" s="8">
        <v>42447</v>
      </c>
      <c r="B200" s="5">
        <v>1.0743458774135686</v>
      </c>
      <c r="C200" s="5">
        <v>-0.34457660082749425</v>
      </c>
      <c r="D200" s="5">
        <v>-0.33479900446672883</v>
      </c>
      <c r="E200" s="5">
        <v>0.37553576757705603</v>
      </c>
      <c r="F200" s="5">
        <v>-0.38116664233421382</v>
      </c>
      <c r="G200" s="5">
        <v>-0.32291633256332358</v>
      </c>
      <c r="H200" s="9">
        <v>2.3428616213784894E-3</v>
      </c>
      <c r="I200" s="3">
        <f t="shared" si="13"/>
        <v>3</v>
      </c>
      <c r="J200" s="14">
        <f t="shared" si="14"/>
        <v>19</v>
      </c>
      <c r="K200" s="15">
        <f t="shared" si="15"/>
        <v>0.83145242418328502</v>
      </c>
      <c r="L200" s="14">
        <f t="shared" si="16"/>
        <v>3</v>
      </c>
    </row>
    <row r="201" spans="1:12" x14ac:dyDescent="0.3">
      <c r="A201" s="8">
        <v>42450</v>
      </c>
      <c r="B201" s="5">
        <v>0.97292360932474087</v>
      </c>
      <c r="C201" s="5">
        <v>-0.39648397338804631</v>
      </c>
      <c r="D201" s="5">
        <v>-0.40842017420844295</v>
      </c>
      <c r="E201" s="5">
        <v>0.38546163142835466</v>
      </c>
      <c r="F201" s="5">
        <v>-0.6854281619553918</v>
      </c>
      <c r="G201" s="5">
        <v>-0.1619859085647925</v>
      </c>
      <c r="H201" s="9">
        <v>4.2172589479413606E-3</v>
      </c>
      <c r="I201" s="3">
        <f t="shared" si="13"/>
        <v>3</v>
      </c>
      <c r="J201" s="14">
        <f t="shared" si="14"/>
        <v>16</v>
      </c>
      <c r="K201" s="15">
        <f t="shared" si="15"/>
        <v>0.76938325733680968</v>
      </c>
      <c r="L201" s="14">
        <f t="shared" si="16"/>
        <v>3</v>
      </c>
    </row>
    <row r="202" spans="1:12" x14ac:dyDescent="0.3">
      <c r="A202" s="8">
        <v>42451</v>
      </c>
      <c r="B202" s="5">
        <v>0.89574062543324318</v>
      </c>
      <c r="C202" s="5">
        <v>-0.41378643090823031</v>
      </c>
      <c r="D202" s="5">
        <v>-0.34691097992445863</v>
      </c>
      <c r="E202" s="5">
        <v>0.51551621854865615</v>
      </c>
      <c r="F202" s="5">
        <v>-0.8910906227515788</v>
      </c>
      <c r="G202" s="5">
        <v>-0.14779923591180297</v>
      </c>
      <c r="H202" s="9">
        <v>3.2826059282658805E-3</v>
      </c>
      <c r="I202" s="3">
        <f t="shared" si="13"/>
        <v>3</v>
      </c>
      <c r="J202" s="14">
        <f t="shared" si="14"/>
        <v>12</v>
      </c>
      <c r="K202" s="15">
        <f t="shared" si="15"/>
        <v>0.7133829864807808</v>
      </c>
      <c r="L202" s="14">
        <f t="shared" si="16"/>
        <v>3</v>
      </c>
    </row>
    <row r="203" spans="1:12" x14ac:dyDescent="0.3">
      <c r="A203" s="8">
        <v>42452</v>
      </c>
      <c r="B203" s="5">
        <v>0.84662418113865345</v>
      </c>
      <c r="C203" s="5">
        <v>-0.29266922826694231</v>
      </c>
      <c r="D203" s="5">
        <v>-0.24346407061808492</v>
      </c>
      <c r="E203" s="5">
        <v>0.62127155940652412</v>
      </c>
      <c r="F203" s="5">
        <v>-1.0694186910022236</v>
      </c>
      <c r="G203" s="5">
        <v>-0.25219377527755682</v>
      </c>
      <c r="H203" s="9">
        <v>4.4841460876600793E-3</v>
      </c>
      <c r="I203" s="3">
        <f t="shared" si="13"/>
        <v>3</v>
      </c>
      <c r="J203" s="14">
        <f t="shared" si="14"/>
        <v>17</v>
      </c>
      <c r="K203" s="15">
        <f t="shared" si="15"/>
        <v>0.77085559440410079</v>
      </c>
      <c r="L203" s="14">
        <f t="shared" si="16"/>
        <v>3</v>
      </c>
    </row>
    <row r="204" spans="1:12" x14ac:dyDescent="0.3">
      <c r="A204" s="8">
        <v>42453</v>
      </c>
      <c r="B204" s="5">
        <v>0.76306243824785835</v>
      </c>
      <c r="C204" s="5">
        <v>-0.55220609106970242</v>
      </c>
      <c r="D204" s="5">
        <v>-0.30090184071948783</v>
      </c>
      <c r="E204" s="5">
        <v>0.44901542468059696</v>
      </c>
      <c r="F204" s="5">
        <v>-0.96419126385500797</v>
      </c>
      <c r="G204" s="5">
        <v>-0.26631777588268174</v>
      </c>
      <c r="H204" s="9">
        <v>4.626266404683577E-3</v>
      </c>
      <c r="I204" s="3">
        <f t="shared" si="13"/>
        <v>3</v>
      </c>
      <c r="J204" s="14">
        <f t="shared" si="14"/>
        <v>6</v>
      </c>
      <c r="K204" s="15">
        <f t="shared" si="15"/>
        <v>0.59179494833304735</v>
      </c>
      <c r="L204" s="14">
        <f t="shared" si="16"/>
        <v>3</v>
      </c>
    </row>
    <row r="205" spans="1:12" x14ac:dyDescent="0.3">
      <c r="A205" s="8">
        <v>42454</v>
      </c>
      <c r="B205" s="5">
        <v>0.66610530145853897</v>
      </c>
      <c r="C205" s="5">
        <v>-0.60411346363025442</v>
      </c>
      <c r="D205" s="5">
        <v>-0.46839900402580881</v>
      </c>
      <c r="E205" s="5">
        <v>0.26486321694695769</v>
      </c>
      <c r="F205" s="5">
        <v>-0.68200026938373104</v>
      </c>
      <c r="G205" s="5">
        <v>-0.42464446116538301</v>
      </c>
      <c r="H205" s="9">
        <v>-1.4024210170912709E-3</v>
      </c>
      <c r="I205" s="3">
        <f t="shared" si="13"/>
        <v>2</v>
      </c>
      <c r="J205" s="14">
        <f t="shared" si="14"/>
        <v>4</v>
      </c>
      <c r="K205" s="15">
        <f t="shared" si="15"/>
        <v>0.57755462315637762</v>
      </c>
      <c r="L205" s="14">
        <f t="shared" si="16"/>
        <v>2</v>
      </c>
    </row>
    <row r="206" spans="1:12" x14ac:dyDescent="0.3">
      <c r="A206" s="8">
        <v>42457</v>
      </c>
      <c r="B206" s="5">
        <v>0.64888265216043617</v>
      </c>
      <c r="C206" s="5">
        <v>-0.75983558131191054</v>
      </c>
      <c r="D206" s="5">
        <v>-0.59105730683692614</v>
      </c>
      <c r="E206" s="5">
        <v>0.24537726647171162</v>
      </c>
      <c r="F206" s="5">
        <v>-0.49610643176780211</v>
      </c>
      <c r="G206" s="5">
        <v>-0.57861259039204527</v>
      </c>
      <c r="H206" s="9">
        <v>1.692968939189754E-3</v>
      </c>
      <c r="I206" s="3">
        <f t="shared" si="13"/>
        <v>2</v>
      </c>
      <c r="J206" s="14">
        <f t="shared" si="14"/>
        <v>10</v>
      </c>
      <c r="K206" s="15">
        <f t="shared" si="15"/>
        <v>0.67314462971032818</v>
      </c>
      <c r="L206" s="14">
        <f t="shared" si="16"/>
        <v>2</v>
      </c>
    </row>
    <row r="207" spans="1:12" x14ac:dyDescent="0.3">
      <c r="A207" s="8">
        <v>42458</v>
      </c>
      <c r="B207" s="5">
        <v>0.61890248486373867</v>
      </c>
      <c r="C207" s="5">
        <v>-0.79444049635227842</v>
      </c>
      <c r="D207" s="5">
        <v>-0.653290764518214</v>
      </c>
      <c r="E207" s="5">
        <v>0.19467971144897783</v>
      </c>
      <c r="F207" s="5">
        <v>-0.37261355116026379</v>
      </c>
      <c r="G207" s="5">
        <v>-0.6327384499114832</v>
      </c>
      <c r="H207" s="9">
        <v>-4.7060994820387943E-3</v>
      </c>
      <c r="I207" s="3">
        <f t="shared" si="13"/>
        <v>1</v>
      </c>
      <c r="J207" s="14">
        <f t="shared" si="14"/>
        <v>18</v>
      </c>
      <c r="K207" s="15">
        <f t="shared" si="15"/>
        <v>0.78291418066896079</v>
      </c>
      <c r="L207" s="14">
        <f t="shared" si="16"/>
        <v>1</v>
      </c>
    </row>
    <row r="208" spans="1:12" x14ac:dyDescent="0.3">
      <c r="A208" s="8">
        <v>42459</v>
      </c>
      <c r="B208" s="5">
        <v>0.66100229425910106</v>
      </c>
      <c r="C208" s="5">
        <v>-0.75983558131191054</v>
      </c>
      <c r="D208" s="5">
        <v>-0.50969224738110608</v>
      </c>
      <c r="E208" s="5">
        <v>8.6297425049225079E-2</v>
      </c>
      <c r="F208" s="5">
        <v>-0.17716266030651653</v>
      </c>
      <c r="G208" s="5">
        <v>-0.68612933723323621</v>
      </c>
      <c r="H208" s="9">
        <v>-3.5481069375645547E-3</v>
      </c>
      <c r="I208" s="3">
        <f t="shared" si="13"/>
        <v>1</v>
      </c>
      <c r="J208" s="14">
        <f t="shared" si="14"/>
        <v>20</v>
      </c>
      <c r="K208" s="15">
        <f t="shared" si="15"/>
        <v>0.87204700553345682</v>
      </c>
      <c r="L208" s="14">
        <f t="shared" si="16"/>
        <v>1</v>
      </c>
    </row>
    <row r="209" spans="1:12" x14ac:dyDescent="0.3">
      <c r="A209" s="8">
        <v>42460</v>
      </c>
      <c r="B209" s="5">
        <v>0.71458386985319877</v>
      </c>
      <c r="C209" s="5">
        <v>-0.89825524147338265</v>
      </c>
      <c r="D209" s="5">
        <v>-0.17452606165723958</v>
      </c>
      <c r="E209" s="5">
        <v>-7.6948527017857982E-3</v>
      </c>
      <c r="F209" s="5">
        <v>-0.10693523660134034</v>
      </c>
      <c r="G209" s="5">
        <v>-0.62837989385544435</v>
      </c>
      <c r="H209" s="9">
        <v>-6.6647003579291212E-3</v>
      </c>
      <c r="I209" s="3">
        <f t="shared" si="13"/>
        <v>1</v>
      </c>
      <c r="J209" s="14">
        <f t="shared" si="14"/>
        <v>22</v>
      </c>
      <c r="K209" s="15">
        <f t="shared" si="15"/>
        <v>0.91023371587494872</v>
      </c>
      <c r="L209" s="14">
        <f t="shared" si="16"/>
        <v>1</v>
      </c>
    </row>
    <row r="210" spans="1:12" x14ac:dyDescent="0.3">
      <c r="A210" s="8">
        <v>42461</v>
      </c>
      <c r="B210" s="5">
        <v>0.54044374917238147</v>
      </c>
      <c r="C210" s="5">
        <v>-0.44839134594859847</v>
      </c>
      <c r="D210" s="5">
        <v>8.6761165658075928E-2</v>
      </c>
      <c r="E210" s="5">
        <v>-0.303113999059969</v>
      </c>
      <c r="F210" s="5">
        <v>0.1131986994690591</v>
      </c>
      <c r="G210" s="5">
        <v>-0.45572409944733394</v>
      </c>
      <c r="H210" s="9">
        <v>-5.2280204462888946E-3</v>
      </c>
      <c r="I210" s="3">
        <f t="shared" si="13"/>
        <v>1</v>
      </c>
      <c r="J210" s="14">
        <f t="shared" si="14"/>
        <v>53</v>
      </c>
      <c r="K210" s="15">
        <f t="shared" si="15"/>
        <v>1.2569256858328761</v>
      </c>
      <c r="L210" s="14">
        <f t="shared" si="16"/>
        <v>1</v>
      </c>
    </row>
    <row r="211" spans="1:12" x14ac:dyDescent="0.3">
      <c r="A211" s="8">
        <v>42464</v>
      </c>
      <c r="B211" s="5">
        <v>0.49451668437744073</v>
      </c>
      <c r="C211" s="5">
        <v>-0.20615694066602233</v>
      </c>
      <c r="D211" s="5">
        <v>0.22348736428800234</v>
      </c>
      <c r="E211" s="5">
        <v>-0.19040889088243126</v>
      </c>
      <c r="F211" s="5">
        <v>-0.12642097544316039</v>
      </c>
      <c r="G211" s="5">
        <v>-0.37797657534183388</v>
      </c>
      <c r="H211" s="9">
        <v>-6.0681434105344326E-3</v>
      </c>
      <c r="I211" s="3">
        <f t="shared" si="13"/>
        <v>1</v>
      </c>
      <c r="J211" s="14">
        <f t="shared" si="14"/>
        <v>41</v>
      </c>
      <c r="K211" s="15">
        <f t="shared" si="15"/>
        <v>1.1659855550849338</v>
      </c>
      <c r="L211" s="14">
        <f t="shared" si="16"/>
        <v>1</v>
      </c>
    </row>
    <row r="212" spans="1:12" x14ac:dyDescent="0.3">
      <c r="A212" s="8">
        <v>42465</v>
      </c>
      <c r="B212" s="5">
        <v>0.21640279200807666</v>
      </c>
      <c r="C212" s="5">
        <v>0.2091020398183939</v>
      </c>
      <c r="D212" s="5">
        <v>0.35415143736366306</v>
      </c>
      <c r="E212" s="5">
        <v>-0.48080275692393942</v>
      </c>
      <c r="F212" s="5">
        <v>-3.035123540890939E-2</v>
      </c>
      <c r="G212" s="5">
        <v>-8.7092811366580716E-2</v>
      </c>
      <c r="H212" s="9">
        <v>2.3668915294006608E-3</v>
      </c>
      <c r="I212" s="3">
        <f t="shared" si="13"/>
        <v>3</v>
      </c>
      <c r="J212" s="14">
        <f t="shared" si="14"/>
        <v>91</v>
      </c>
      <c r="K212" s="15">
        <f t="shared" si="15"/>
        <v>1.713064789326882</v>
      </c>
      <c r="L212" s="14">
        <f t="shared" si="16"/>
        <v>3</v>
      </c>
    </row>
    <row r="213" spans="1:12" x14ac:dyDescent="0.3">
      <c r="A213" s="8">
        <v>42466</v>
      </c>
      <c r="B213" s="5">
        <v>1.2282504030561896E-2</v>
      </c>
      <c r="C213" s="5">
        <v>0.27831186989912993</v>
      </c>
      <c r="D213" s="5">
        <v>0.18357922353150291</v>
      </c>
      <c r="E213" s="5">
        <v>-0.21647467489059422</v>
      </c>
      <c r="F213" s="5">
        <v>-0.556222127061752</v>
      </c>
      <c r="G213" s="5">
        <v>8.8286368394191878E-2</v>
      </c>
      <c r="H213" s="9">
        <v>2.3211092240615016E-3</v>
      </c>
      <c r="I213" s="3">
        <f t="shared" si="13"/>
        <v>3</v>
      </c>
      <c r="J213" s="14">
        <f t="shared" si="14"/>
        <v>76</v>
      </c>
      <c r="K213" s="15">
        <f t="shared" si="15"/>
        <v>1.5392796327732527</v>
      </c>
      <c r="L213" s="14">
        <f t="shared" si="16"/>
        <v>3</v>
      </c>
    </row>
    <row r="214" spans="1:12" x14ac:dyDescent="0.3">
      <c r="A214" s="8">
        <v>42467</v>
      </c>
      <c r="B214" s="5">
        <v>-0.27986465813725614</v>
      </c>
      <c r="C214" s="5">
        <v>0.72817576542391416</v>
      </c>
      <c r="D214" s="5">
        <v>-6.974929018067598E-2</v>
      </c>
      <c r="E214" s="5">
        <v>-3.0519758500686888E-3</v>
      </c>
      <c r="F214" s="5">
        <v>-1.0776500705755971</v>
      </c>
      <c r="G214" s="5">
        <v>0.33139124206102333</v>
      </c>
      <c r="H214" s="9">
        <v>4.8270151470479307E-3</v>
      </c>
      <c r="I214" s="3">
        <f t="shared" si="13"/>
        <v>3</v>
      </c>
      <c r="J214" s="14">
        <f t="shared" si="14"/>
        <v>119</v>
      </c>
      <c r="K214" s="15">
        <f t="shared" si="15"/>
        <v>1.9844400361516912</v>
      </c>
      <c r="L214" s="14">
        <f t="shared" si="16"/>
        <v>3</v>
      </c>
    </row>
    <row r="215" spans="1:12" x14ac:dyDescent="0.3">
      <c r="A215" s="8">
        <v>42468</v>
      </c>
      <c r="B215" s="5">
        <v>-0.47760618711547365</v>
      </c>
      <c r="C215" s="5">
        <v>0.57245364774225815</v>
      </c>
      <c r="D215" s="5">
        <v>-0.10921141562471175</v>
      </c>
      <c r="E215" s="5">
        <v>0.33967297305904787</v>
      </c>
      <c r="F215" s="5">
        <v>-1.6763276254899626</v>
      </c>
      <c r="G215" s="5">
        <v>0.47421514168557816</v>
      </c>
      <c r="H215" s="9">
        <v>8.3312634646404149E-3</v>
      </c>
      <c r="I215" s="3">
        <f t="shared" si="13"/>
        <v>3</v>
      </c>
      <c r="J215" s="14">
        <f t="shared" si="14"/>
        <v>154</v>
      </c>
      <c r="K215" s="15">
        <f t="shared" si="15"/>
        <v>2.1609687046185533</v>
      </c>
      <c r="L215" s="14">
        <f t="shared" si="16"/>
        <v>3</v>
      </c>
    </row>
    <row r="216" spans="1:12" x14ac:dyDescent="0.3">
      <c r="A216" s="8">
        <v>42471</v>
      </c>
      <c r="B216" s="5">
        <v>-0.67152046069411264</v>
      </c>
      <c r="C216" s="5">
        <v>0.55515119022207404</v>
      </c>
      <c r="D216" s="5">
        <v>-0.2470117336997916</v>
      </c>
      <c r="E216" s="5">
        <v>0.33215791366074476</v>
      </c>
      <c r="F216" s="5">
        <v>-1.6618339632088137</v>
      </c>
      <c r="G216" s="5">
        <v>0.47332633809767993</v>
      </c>
      <c r="H216" s="9">
        <v>3.4456607920354543E-3</v>
      </c>
      <c r="I216" s="3">
        <f t="shared" si="13"/>
        <v>3</v>
      </c>
      <c r="J216" s="14">
        <f t="shared" si="14"/>
        <v>159</v>
      </c>
      <c r="K216" s="15">
        <f t="shared" si="15"/>
        <v>2.2395612062352157</v>
      </c>
      <c r="L216" s="14">
        <f t="shared" si="16"/>
        <v>3</v>
      </c>
    </row>
    <row r="217" spans="1:12" x14ac:dyDescent="0.3">
      <c r="A217" s="8">
        <v>42472</v>
      </c>
      <c r="B217" s="5">
        <v>-0.51715449291111715</v>
      </c>
      <c r="C217" s="5">
        <v>0.13989220973765787</v>
      </c>
      <c r="D217" s="5">
        <v>-0.45623997190667237</v>
      </c>
      <c r="E217" s="5">
        <v>0.71496040832120988</v>
      </c>
      <c r="F217" s="5">
        <v>-1.8824726536870144</v>
      </c>
      <c r="G217" s="5">
        <v>0.18219758338986508</v>
      </c>
      <c r="H217" s="9">
        <v>3.7297118156146779E-3</v>
      </c>
      <c r="I217" s="3">
        <f t="shared" si="13"/>
        <v>3</v>
      </c>
      <c r="J217" s="14">
        <f t="shared" si="14"/>
        <v>118</v>
      </c>
      <c r="K217" s="15">
        <f t="shared" si="15"/>
        <v>1.9632305928708158</v>
      </c>
      <c r="L217" s="14">
        <f t="shared" si="16"/>
        <v>3</v>
      </c>
    </row>
    <row r="218" spans="1:12" x14ac:dyDescent="0.3">
      <c r="A218" s="8">
        <v>42474</v>
      </c>
      <c r="B218" s="5">
        <v>-0.35385826252910524</v>
      </c>
      <c r="C218" s="5">
        <v>-3.313236546418219E-2</v>
      </c>
      <c r="D218" s="5">
        <v>-0.14711248747512454</v>
      </c>
      <c r="E218" s="5">
        <v>0.62127987252532768</v>
      </c>
      <c r="F218" s="5">
        <v>-1.4090684866868266</v>
      </c>
      <c r="G218" s="5">
        <v>-0.17221854474341469</v>
      </c>
      <c r="H218" s="9">
        <v>-9.2521367775653116E-4</v>
      </c>
      <c r="I218" s="3">
        <f t="shared" si="13"/>
        <v>2</v>
      </c>
      <c r="J218" s="14">
        <f t="shared" si="14"/>
        <v>61</v>
      </c>
      <c r="K218" s="15">
        <f t="shared" si="15"/>
        <v>1.3734442886987184</v>
      </c>
      <c r="L218" s="14">
        <f t="shared" si="16"/>
        <v>2</v>
      </c>
    </row>
    <row r="219" spans="1:12" x14ac:dyDescent="0.3">
      <c r="A219" s="8">
        <v>42475</v>
      </c>
      <c r="B219" s="5">
        <v>-8.9139764058265805E-2</v>
      </c>
      <c r="C219" s="5">
        <v>-0.41378643090823031</v>
      </c>
      <c r="D219" s="5">
        <v>-0.39711839170362889</v>
      </c>
      <c r="E219" s="5">
        <v>0.48622078788535961</v>
      </c>
      <c r="F219" s="5">
        <v>-0.80655257957247828</v>
      </c>
      <c r="G219" s="5">
        <v>-0.34584290716397814</v>
      </c>
      <c r="H219" s="9">
        <v>-3.1008373071930604E-3</v>
      </c>
      <c r="I219" s="3">
        <f t="shared" si="13"/>
        <v>1</v>
      </c>
      <c r="J219" s="14">
        <f t="shared" si="14"/>
        <v>15</v>
      </c>
      <c r="K219" s="15">
        <f t="shared" si="15"/>
        <v>0.75125959680993071</v>
      </c>
      <c r="L219" s="14">
        <f t="shared" si="16"/>
        <v>1</v>
      </c>
    </row>
    <row r="220" spans="1:12" x14ac:dyDescent="0.3">
      <c r="A220" s="8">
        <v>42478</v>
      </c>
      <c r="B220" s="5">
        <v>0.27636312660147166</v>
      </c>
      <c r="C220" s="5">
        <v>-0.69062575123117431</v>
      </c>
      <c r="D220" s="5">
        <v>-0.64957533420888347</v>
      </c>
      <c r="E220" s="5">
        <v>0.51730769565079593</v>
      </c>
      <c r="F220" s="5">
        <v>-0.42731561676175234</v>
      </c>
      <c r="G220" s="5">
        <v>-0.51271008333295698</v>
      </c>
      <c r="H220" s="9">
        <v>-2.7907429547731509E-3</v>
      </c>
      <c r="I220" s="3">
        <f t="shared" si="13"/>
        <v>1</v>
      </c>
      <c r="J220" s="14">
        <f t="shared" si="14"/>
        <v>7</v>
      </c>
      <c r="K220" s="15">
        <f t="shared" si="15"/>
        <v>0.60373198288867103</v>
      </c>
      <c r="L220" s="14">
        <f t="shared" si="16"/>
        <v>1</v>
      </c>
    </row>
    <row r="221" spans="1:12" x14ac:dyDescent="0.3">
      <c r="A221" s="8">
        <v>42479</v>
      </c>
      <c r="B221" s="5">
        <v>0.43710785338376457</v>
      </c>
      <c r="C221" s="5">
        <v>-0.89825524147338265</v>
      </c>
      <c r="D221" s="5">
        <v>-0.6003233772504496</v>
      </c>
      <c r="E221" s="5">
        <v>0.4066393015800992</v>
      </c>
      <c r="F221" s="5">
        <v>-0.10787263764439972</v>
      </c>
      <c r="G221" s="5">
        <v>-0.42704309136092861</v>
      </c>
      <c r="H221" s="9">
        <v>1.2383940495841017E-3</v>
      </c>
      <c r="I221" s="3">
        <f t="shared" si="13"/>
        <v>2</v>
      </c>
      <c r="J221" s="14">
        <f t="shared" si="14"/>
        <v>14</v>
      </c>
      <c r="K221" s="15">
        <f t="shared" si="15"/>
        <v>0.74651541747812955</v>
      </c>
      <c r="L221" s="14">
        <f t="shared" si="16"/>
        <v>2</v>
      </c>
    </row>
    <row r="222" spans="1:12" x14ac:dyDescent="0.3">
      <c r="A222" s="8">
        <v>42480</v>
      </c>
      <c r="B222" s="5">
        <v>0.57616479956844668</v>
      </c>
      <c r="C222" s="5">
        <v>-0.84634786891283054</v>
      </c>
      <c r="D222" s="5">
        <v>-0.52274535606697026</v>
      </c>
      <c r="E222" s="5">
        <v>0.57478875561713072</v>
      </c>
      <c r="F222" s="5">
        <v>-9.5536661787807703E-2</v>
      </c>
      <c r="G222" s="5">
        <v>-0.40658351646258106</v>
      </c>
      <c r="H222" s="9">
        <v>1.5390535580550591E-4</v>
      </c>
      <c r="I222" s="3">
        <f t="shared" si="13"/>
        <v>2</v>
      </c>
      <c r="J222" s="14">
        <f t="shared" si="14"/>
        <v>9</v>
      </c>
      <c r="K222" s="15">
        <f t="shared" si="15"/>
        <v>0.66208169986987087</v>
      </c>
      <c r="L222" s="14">
        <f t="shared" si="16"/>
        <v>2</v>
      </c>
    </row>
    <row r="223" spans="1:12" x14ac:dyDescent="0.3">
      <c r="A223" s="8">
        <v>42481</v>
      </c>
      <c r="B223" s="5">
        <v>0.51301508547540287</v>
      </c>
      <c r="C223" s="5">
        <v>-0.84634786891283054</v>
      </c>
      <c r="D223" s="5">
        <v>-0.91196123227095582</v>
      </c>
      <c r="E223" s="5">
        <v>0.55491208855812335</v>
      </c>
      <c r="F223" s="5">
        <v>-0.12771891534893495</v>
      </c>
      <c r="G223" s="5">
        <v>-8.4164317493634261E-2</v>
      </c>
      <c r="H223" s="9">
        <v>-4.5332147798450963E-3</v>
      </c>
      <c r="I223" s="3">
        <f t="shared" si="13"/>
        <v>1</v>
      </c>
      <c r="J223" s="14">
        <f t="shared" si="14"/>
        <v>28</v>
      </c>
      <c r="K223" s="15">
        <f t="shared" si="15"/>
        <v>0.98663744305916923</v>
      </c>
      <c r="L223" s="14">
        <f t="shared" si="16"/>
        <v>1</v>
      </c>
    </row>
    <row r="224" spans="1:12" x14ac:dyDescent="0.3">
      <c r="A224" s="8">
        <v>42482</v>
      </c>
      <c r="B224" s="5">
        <v>0.34589159969381267</v>
      </c>
      <c r="C224" s="5">
        <v>-0.89825524147338243</v>
      </c>
      <c r="D224" s="5">
        <v>-0.95649933932151643</v>
      </c>
      <c r="E224" s="5">
        <v>0.67147448386045383</v>
      </c>
      <c r="F224" s="5">
        <v>-0.3464883504927509</v>
      </c>
      <c r="G224" s="5">
        <v>-1.2165529414988191E-2</v>
      </c>
      <c r="H224" s="9">
        <v>-5.5449096029708041E-3</v>
      </c>
      <c r="I224" s="3">
        <f t="shared" si="13"/>
        <v>1</v>
      </c>
      <c r="J224" s="14">
        <f t="shared" si="14"/>
        <v>25</v>
      </c>
      <c r="K224" s="15">
        <f t="shared" si="15"/>
        <v>0.97884846164594141</v>
      </c>
      <c r="L224" s="14">
        <f t="shared" si="16"/>
        <v>1</v>
      </c>
    </row>
    <row r="225" spans="1:12" x14ac:dyDescent="0.3">
      <c r="A225" s="8">
        <v>42485</v>
      </c>
      <c r="B225" s="5">
        <v>0.18195749341187106</v>
      </c>
      <c r="C225" s="5">
        <v>-0.88095278395319865</v>
      </c>
      <c r="D225" s="5">
        <v>-1.0312109960427862</v>
      </c>
      <c r="E225" s="5">
        <v>0.72760881858063264</v>
      </c>
      <c r="F225" s="5">
        <v>-0.45137187903245374</v>
      </c>
      <c r="G225" s="5">
        <v>2.1301344144714823E-2</v>
      </c>
      <c r="H225" s="9">
        <v>-4.89949432007748E-3</v>
      </c>
      <c r="I225" s="3">
        <f t="shared" si="13"/>
        <v>1</v>
      </c>
      <c r="J225" s="14">
        <f t="shared" si="14"/>
        <v>33</v>
      </c>
      <c r="K225" s="15">
        <f t="shared" si="15"/>
        <v>1.0676524402228589</v>
      </c>
      <c r="L225" s="14">
        <f t="shared" si="16"/>
        <v>1</v>
      </c>
    </row>
    <row r="226" spans="1:12" x14ac:dyDescent="0.3">
      <c r="A226" s="8">
        <v>42486</v>
      </c>
      <c r="B226" s="5">
        <v>0.15389095381496279</v>
      </c>
      <c r="C226" s="5">
        <v>-0.72523066627154253</v>
      </c>
      <c r="D226" s="5">
        <v>-0.98592407429331885</v>
      </c>
      <c r="E226" s="5">
        <v>0.87282237783899352</v>
      </c>
      <c r="F226" s="5">
        <v>-0.49612861877473841</v>
      </c>
      <c r="G226" s="5">
        <v>-0.13888271273833766</v>
      </c>
      <c r="H226" s="9">
        <v>-5.4755081894601433E-3</v>
      </c>
      <c r="I226" s="3">
        <f t="shared" si="13"/>
        <v>1</v>
      </c>
      <c r="J226" s="14">
        <f t="shared" si="14"/>
        <v>26</v>
      </c>
      <c r="K226" s="15">
        <f t="shared" si="15"/>
        <v>0.98116462101033941</v>
      </c>
      <c r="L226" s="14">
        <f t="shared" si="16"/>
        <v>1</v>
      </c>
    </row>
    <row r="227" spans="1:12" x14ac:dyDescent="0.3">
      <c r="A227" s="8">
        <v>42487</v>
      </c>
      <c r="B227" s="5">
        <v>9.0103363821989427E-2</v>
      </c>
      <c r="C227" s="5">
        <v>-0.79444049635227854</v>
      </c>
      <c r="D227" s="5">
        <v>-0.99825291958187934</v>
      </c>
      <c r="E227" s="5">
        <v>0.66455796901599784</v>
      </c>
      <c r="F227" s="5">
        <v>-0.25989246242030717</v>
      </c>
      <c r="G227" s="5">
        <v>-0.11136398626687605</v>
      </c>
      <c r="H227" s="9">
        <v>-1.5444092187820503E-3</v>
      </c>
      <c r="I227" s="3">
        <f t="shared" si="13"/>
        <v>2</v>
      </c>
      <c r="J227" s="14">
        <f t="shared" si="14"/>
        <v>32</v>
      </c>
      <c r="K227" s="15">
        <f t="shared" si="15"/>
        <v>1.0545178382407283</v>
      </c>
      <c r="L227" s="14">
        <f t="shared" si="16"/>
        <v>2</v>
      </c>
    </row>
    <row r="228" spans="1:12" x14ac:dyDescent="0.3">
      <c r="A228" s="8">
        <v>42488</v>
      </c>
      <c r="B228" s="5">
        <v>-0.13698045655299579</v>
      </c>
      <c r="C228" s="5">
        <v>-0.34457660082749431</v>
      </c>
      <c r="D228" s="5">
        <v>-0.69549445197464121</v>
      </c>
      <c r="E228" s="5">
        <v>0.45105213878743805</v>
      </c>
      <c r="F228" s="5">
        <v>-0.27039801020465304</v>
      </c>
      <c r="G228" s="5">
        <v>0.19582020761207314</v>
      </c>
      <c r="H228" s="9">
        <v>5.3045231017961212E-3</v>
      </c>
      <c r="I228" s="3">
        <f t="shared" si="13"/>
        <v>3</v>
      </c>
      <c r="J228" s="14">
        <f t="shared" si="14"/>
        <v>42</v>
      </c>
      <c r="K228" s="15">
        <f t="shared" si="15"/>
        <v>1.1722379055175152</v>
      </c>
      <c r="L228" s="14">
        <f t="shared" si="16"/>
        <v>3</v>
      </c>
    </row>
    <row r="229" spans="1:12" x14ac:dyDescent="0.3">
      <c r="A229" s="8">
        <v>42489</v>
      </c>
      <c r="B229" s="5">
        <v>-0.36023702152840259</v>
      </c>
      <c r="C229" s="5">
        <v>-0.20615694066602233</v>
      </c>
      <c r="D229" s="5">
        <v>-0.26533928034680904</v>
      </c>
      <c r="E229" s="5">
        <v>0.44010376132331724</v>
      </c>
      <c r="F229" s="5">
        <v>-0.53832275921587858</v>
      </c>
      <c r="G229" s="5">
        <v>0.32542030513719478</v>
      </c>
      <c r="H229" s="9">
        <v>8.0294136026822123E-3</v>
      </c>
      <c r="I229" s="3">
        <f t="shared" si="13"/>
        <v>3</v>
      </c>
      <c r="J229" s="14">
        <f t="shared" si="14"/>
        <v>54</v>
      </c>
      <c r="K229" s="15">
        <f t="shared" si="15"/>
        <v>1.2656513780173799</v>
      </c>
      <c r="L229" s="14">
        <f t="shared" si="16"/>
        <v>3</v>
      </c>
    </row>
    <row r="230" spans="1:12" x14ac:dyDescent="0.3">
      <c r="A230" s="8">
        <v>42492</v>
      </c>
      <c r="B230" s="5">
        <v>-0.50439697491252244</v>
      </c>
      <c r="C230" s="5">
        <v>-0.15424956810547025</v>
      </c>
      <c r="D230" s="5">
        <v>-0.16591673856161007</v>
      </c>
      <c r="E230" s="5">
        <v>0.39377890679118899</v>
      </c>
      <c r="F230" s="5">
        <v>-0.62449709415653243</v>
      </c>
      <c r="G230" s="5">
        <v>0.3488653484974566</v>
      </c>
      <c r="H230" s="9">
        <v>6.6095708092401397E-3</v>
      </c>
      <c r="I230" s="3">
        <f t="shared" si="13"/>
        <v>3</v>
      </c>
      <c r="J230" s="14">
        <f t="shared" si="14"/>
        <v>64</v>
      </c>
      <c r="K230" s="15">
        <f t="shared" si="15"/>
        <v>1.3997249947667778</v>
      </c>
      <c r="L230" s="14">
        <f t="shared" si="16"/>
        <v>3</v>
      </c>
    </row>
    <row r="231" spans="1:12" x14ac:dyDescent="0.3">
      <c r="A231" s="8">
        <v>42493</v>
      </c>
      <c r="B231" s="5">
        <v>-0.63771303799783685</v>
      </c>
      <c r="C231" s="5">
        <v>-0.29266922826694231</v>
      </c>
      <c r="D231" s="5">
        <v>-0.18399263436719154</v>
      </c>
      <c r="E231" s="5">
        <v>0.43975045377417138</v>
      </c>
      <c r="F231" s="5">
        <v>-0.85518649877688446</v>
      </c>
      <c r="G231" s="5">
        <v>0.45655871656444785</v>
      </c>
      <c r="H231" s="9">
        <v>3.1471931863631397E-3</v>
      </c>
      <c r="I231" s="3">
        <f t="shared" si="13"/>
        <v>3</v>
      </c>
      <c r="J231" s="14">
        <f t="shared" si="14"/>
        <v>74</v>
      </c>
      <c r="K231" s="15">
        <f t="shared" si="15"/>
        <v>1.5234899080746107</v>
      </c>
      <c r="L231" s="14">
        <f t="shared" si="16"/>
        <v>3</v>
      </c>
    </row>
    <row r="232" spans="1:12" x14ac:dyDescent="0.3">
      <c r="I232" s="1"/>
    </row>
  </sheetData>
  <mergeCells count="2">
    <mergeCell ref="A4:I4"/>
    <mergeCell ref="J1:R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KNN</vt:lpstr>
      <vt:lpstr>주가방향예측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2016-05-28T17:12:52Z</dcterms:created>
  <dcterms:modified xsi:type="dcterms:W3CDTF">2016-12-29T06:41:38Z</dcterms:modified>
</cp:coreProperties>
</file>