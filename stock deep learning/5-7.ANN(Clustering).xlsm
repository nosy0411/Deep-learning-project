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교육자료(4)\텐서플로(금융)\실습파일\"/>
    </mc:Choice>
  </mc:AlternateContent>
  <bookViews>
    <workbookView xWindow="240" yWindow="45" windowWidth="22635" windowHeight="9420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4" i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3" i="2"/>
  <c r="M5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4" i="1"/>
  <c r="C9" i="1"/>
  <c r="N12" i="2"/>
  <c r="N3" i="2"/>
  <c r="I1" i="2"/>
  <c r="K5" i="2" s="1"/>
  <c r="I2" i="2"/>
  <c r="H2" i="2"/>
  <c r="J7" i="2" s="1"/>
  <c r="H1" i="2"/>
  <c r="J9" i="2" s="1"/>
  <c r="B16" i="1"/>
  <c r="A16" i="1"/>
  <c r="B15" i="1"/>
  <c r="A15" i="1"/>
  <c r="B14" i="1"/>
  <c r="A14" i="1"/>
  <c r="B13" i="1"/>
  <c r="A13" i="1"/>
  <c r="E35" i="1"/>
  <c r="E36" i="1"/>
  <c r="J22" i="2" l="1"/>
  <c r="J14" i="2"/>
  <c r="J6" i="2"/>
  <c r="K18" i="2"/>
  <c r="K10" i="2"/>
  <c r="J21" i="2"/>
  <c r="J13" i="2"/>
  <c r="J5" i="2"/>
  <c r="K17" i="2"/>
  <c r="K9" i="2"/>
  <c r="J20" i="2"/>
  <c r="J12" i="2"/>
  <c r="J4" i="2"/>
  <c r="K16" i="2"/>
  <c r="K8" i="2"/>
  <c r="J16" i="2"/>
  <c r="J8" i="2"/>
  <c r="K20" i="2"/>
  <c r="K12" i="2"/>
  <c r="K4" i="2"/>
  <c r="J3" i="2"/>
  <c r="J15" i="2"/>
  <c r="K19" i="2"/>
  <c r="K11" i="2"/>
  <c r="J19" i="2"/>
  <c r="J11" i="2"/>
  <c r="K3" i="2"/>
  <c r="K15" i="2"/>
  <c r="K7" i="2"/>
  <c r="J18" i="2"/>
  <c r="J10" i="2"/>
  <c r="K22" i="2"/>
  <c r="K14" i="2"/>
  <c r="K6" i="2"/>
  <c r="J17" i="2"/>
  <c r="K21" i="2"/>
  <c r="K13" i="2"/>
  <c r="E30" i="1"/>
  <c r="E31" i="1"/>
  <c r="E32" i="1"/>
  <c r="E33" i="1"/>
  <c r="E34" i="1"/>
  <c r="E29" i="1"/>
</calcChain>
</file>

<file path=xl/sharedStrings.xml><?xml version="1.0" encoding="utf-8"?>
<sst xmlns="http://schemas.openxmlformats.org/spreadsheetml/2006/main" count="41" uniqueCount="37">
  <si>
    <t>Network</t>
    <phoneticPr fontId="1" type="noConversion"/>
  </si>
  <si>
    <t>Neuron</t>
    <phoneticPr fontId="1" type="noConversion"/>
  </si>
  <si>
    <t>Connection</t>
    <phoneticPr fontId="1" type="noConversion"/>
  </si>
  <si>
    <t>Layer</t>
    <phoneticPr fontId="1" type="noConversion"/>
  </si>
  <si>
    <t>No</t>
    <phoneticPr fontId="1" type="noConversion"/>
  </si>
  <si>
    <t>wsum</t>
    <phoneticPr fontId="1" type="noConversion"/>
  </si>
  <si>
    <t>wType</t>
    <phoneticPr fontId="1" type="noConversion"/>
  </si>
  <si>
    <t>weight</t>
    <phoneticPr fontId="1" type="noConversion"/>
  </si>
  <si>
    <t>cnNr</t>
    <phoneticPr fontId="1" type="noConversion"/>
  </si>
  <si>
    <t>weight</t>
    <phoneticPr fontId="1" type="noConversion"/>
  </si>
  <si>
    <t>입력 패턴</t>
    <phoneticPr fontId="1" type="noConversion"/>
  </si>
  <si>
    <t>학습횟수</t>
    <phoneticPr fontId="1" type="noConversion"/>
  </si>
  <si>
    <t>시행횟수</t>
    <phoneticPr fontId="1" type="noConversion"/>
  </si>
  <si>
    <t>min weight</t>
    <phoneticPr fontId="1" type="noConversion"/>
  </si>
  <si>
    <t>max weight</t>
    <phoneticPr fontId="1" type="noConversion"/>
  </si>
  <si>
    <t>시작</t>
    <phoneticPr fontId="1" type="noConversion"/>
  </si>
  <si>
    <t>개수</t>
    <phoneticPr fontId="1" type="noConversion"/>
  </si>
  <si>
    <t>학습률</t>
    <phoneticPr fontId="1" type="noConversion"/>
  </si>
  <si>
    <t>출력</t>
    <phoneticPr fontId="1" type="noConversion"/>
  </si>
  <si>
    <t>x</t>
    <phoneticPr fontId="1" type="noConversion"/>
  </si>
  <si>
    <t>y</t>
    <phoneticPr fontId="1" type="noConversion"/>
  </si>
  <si>
    <t>error</t>
    <phoneticPr fontId="1" type="noConversion"/>
  </si>
  <si>
    <t>분류</t>
    <phoneticPr fontId="1" type="noConversion"/>
  </si>
  <si>
    <t>x</t>
    <phoneticPr fontId="1" type="noConversion"/>
  </si>
  <si>
    <t>y</t>
    <phoneticPr fontId="1" type="noConversion"/>
  </si>
  <si>
    <t>출력층</t>
    <phoneticPr fontId="1" type="noConversion"/>
  </si>
  <si>
    <t>출력층 뉴런의 weight</t>
    <phoneticPr fontId="1" type="noConversion"/>
  </si>
  <si>
    <t>평균</t>
    <phoneticPr fontId="1" type="noConversion"/>
  </si>
  <si>
    <t>표준편차</t>
    <phoneticPr fontId="1" type="noConversion"/>
  </si>
  <si>
    <t>Normalize</t>
    <phoneticPr fontId="1" type="noConversion"/>
  </si>
  <si>
    <t>weight type</t>
    <phoneticPr fontId="1" type="noConversion"/>
  </si>
  <si>
    <t>stCn</t>
    <phoneticPr fontId="1" type="noConversion"/>
  </si>
  <si>
    <t>InStar 및 경쟁 규칙을 사용한 데이터 분류 예시</t>
    <phoneticPr fontId="1" type="noConversion"/>
  </si>
  <si>
    <t>error limit</t>
    <phoneticPr fontId="1" type="noConversion"/>
  </si>
  <si>
    <t>Normalize[-1,+1]</t>
    <phoneticPr fontId="1" type="noConversion"/>
  </si>
  <si>
    <t>x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</si>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</sst>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_ "/>
    <numFmt numFmtId="177" formatCode="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1" fontId="2" fillId="0" borderId="0" xfId="0" applyNumberFormat="1" applyFont="1">
      <alignment vertical="center"/>
    </xf>
    <xf numFmtId="0" fontId="4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76" fontId="6" fillId="2" borderId="1" xfId="0" applyNumberFormat="1" applyFont="1" applyFill="1" applyBorder="1" applyAlignment="1">
      <alignment horizontal="center" vertical="center"/>
    </xf>
    <xf numFmtId="177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Border="1">
      <alignment vertical="center"/>
    </xf>
    <xf numFmtId="176" fontId="6" fillId="2" borderId="0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76" fontId="6" fillId="3" borderId="1" xfId="0" applyNumberFormat="1" applyFont="1" applyFill="1" applyBorder="1" applyAlignment="1">
      <alignment horizontal="center" vertical="center"/>
    </xf>
    <xf numFmtId="176" fontId="7" fillId="2" borderId="0" xfId="0" applyNumberFormat="1" applyFont="1" applyFill="1" applyBorder="1" applyAlignment="1">
      <alignment vertical="center"/>
    </xf>
    <xf numFmtId="176" fontId="7" fillId="2" borderId="0" xfId="0" applyNumberFormat="1" applyFont="1" applyFill="1" applyBorder="1" applyAlignment="1">
      <alignment horizontal="center" vertical="center"/>
    </xf>
    <xf numFmtId="176" fontId="6" fillId="2" borderId="0" xfId="0" applyNumberFormat="1" applyFont="1" applyFill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76" fontId="7" fillId="2" borderId="3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197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981114258734656E-2"/>
          <c:y val="0.10694269176617824"/>
          <c:w val="0.96397671254266026"/>
          <c:h val="0.85204185569519053"/>
        </c:manualLayout>
      </c:layout>
      <c:scatterChart>
        <c:scatterStyle val="lineMarker"/>
        <c:varyColors val="0"/>
        <c:ser>
          <c:idx val="0"/>
          <c:order val="0"/>
          <c:tx>
            <c:v>입력패턴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accent1">
                  <a:alpha val="51000"/>
                </a:schemeClr>
              </a:solidFill>
            </c:spPr>
          </c:marker>
          <c:dPt>
            <c:idx val="0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95-4362-981A-1C3D0C68E4F4}"/>
              </c:ext>
            </c:extLst>
          </c:dPt>
          <c:dPt>
            <c:idx val="1"/>
            <c:marker>
              <c:spPr>
                <a:solidFill>
                  <a:srgbClr val="00FF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695-4362-981A-1C3D0C68E4F4}"/>
              </c:ext>
            </c:extLst>
          </c:dPt>
          <c:dPt>
            <c:idx val="2"/>
            <c:marker>
              <c:spPr>
                <a:solidFill>
                  <a:srgbClr val="FF0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695-4362-981A-1C3D0C68E4F4}"/>
              </c:ext>
            </c:extLst>
          </c:dPt>
          <c:dPt>
            <c:idx val="3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695-4362-981A-1C3D0C68E4F4}"/>
              </c:ext>
            </c:extLst>
          </c:dPt>
          <c:dPt>
            <c:idx val="4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695-4362-981A-1C3D0C68E4F4}"/>
              </c:ext>
            </c:extLst>
          </c:dPt>
          <c:dPt>
            <c:idx val="5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695-4362-981A-1C3D0C68E4F4}"/>
              </c:ext>
            </c:extLst>
          </c:dPt>
          <c:dPt>
            <c:idx val="6"/>
            <c:marker>
              <c:spPr>
                <a:solidFill>
                  <a:srgbClr val="00FF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695-4362-981A-1C3D0C68E4F4}"/>
              </c:ext>
            </c:extLst>
          </c:dPt>
          <c:dPt>
            <c:idx val="7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695-4362-981A-1C3D0C68E4F4}"/>
              </c:ext>
            </c:extLst>
          </c:dPt>
          <c:dPt>
            <c:idx val="8"/>
            <c:marker>
              <c:spPr>
                <a:solidFill>
                  <a:srgbClr val="FF0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695-4362-981A-1C3D0C68E4F4}"/>
              </c:ext>
            </c:extLst>
          </c:dPt>
          <c:dPt>
            <c:idx val="9"/>
            <c:marker>
              <c:spPr>
                <a:solidFill>
                  <a:srgbClr val="FF0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695-4362-981A-1C3D0C68E4F4}"/>
              </c:ext>
            </c:extLst>
          </c:dPt>
          <c:dPt>
            <c:idx val="10"/>
            <c:marker>
              <c:spPr>
                <a:solidFill>
                  <a:srgbClr val="FF0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695-4362-981A-1C3D0C68E4F4}"/>
              </c:ext>
            </c:extLst>
          </c:dPt>
          <c:dPt>
            <c:idx val="11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695-4362-981A-1C3D0C68E4F4}"/>
              </c:ext>
            </c:extLst>
          </c:dPt>
          <c:dPt>
            <c:idx val="12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695-4362-981A-1C3D0C68E4F4}"/>
              </c:ext>
            </c:extLst>
          </c:dPt>
          <c:dPt>
            <c:idx val="13"/>
            <c:marker>
              <c:spPr>
                <a:solidFill>
                  <a:srgbClr val="00FF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695-4362-981A-1C3D0C68E4F4}"/>
              </c:ext>
            </c:extLst>
          </c:dPt>
          <c:dPt>
            <c:idx val="14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695-4362-981A-1C3D0C68E4F4}"/>
              </c:ext>
            </c:extLst>
          </c:dPt>
          <c:dPt>
            <c:idx val="15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695-4362-981A-1C3D0C68E4F4}"/>
              </c:ext>
            </c:extLst>
          </c:dPt>
          <c:dPt>
            <c:idx val="16"/>
            <c:marker>
              <c:spPr>
                <a:solidFill>
                  <a:srgbClr val="00FF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695-4362-981A-1C3D0C68E4F4}"/>
              </c:ext>
            </c:extLst>
          </c:dPt>
          <c:dPt>
            <c:idx val="17"/>
            <c:marker>
              <c:spPr>
                <a:solidFill>
                  <a:srgbClr val="0000FF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695-4362-981A-1C3D0C68E4F4}"/>
              </c:ext>
            </c:extLst>
          </c:dPt>
          <c:dPt>
            <c:idx val="18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695-4362-981A-1C3D0C68E4F4}"/>
              </c:ext>
            </c:extLst>
          </c:dPt>
          <c:dPt>
            <c:idx val="19"/>
            <c:marker>
              <c:spPr>
                <a:solidFill>
                  <a:srgbClr val="FFC000">
                    <a:alpha val="51000"/>
                  </a:srgbClr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695-4362-981A-1C3D0C68E4F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Sheet1!$G$4:$G$23</c:f>
              <c:numCache>
                <c:formatCode>0.000_ </c:formatCode>
                <c:ptCount val="20"/>
                <c:pt idx="0">
                  <c:v>-0.49345417925478341</c:v>
                </c:pt>
                <c:pt idx="1">
                  <c:v>1</c:v>
                </c:pt>
                <c:pt idx="2">
                  <c:v>0.64451158106747219</c:v>
                </c:pt>
                <c:pt idx="3">
                  <c:v>-0.4793554884189325</c:v>
                </c:pt>
                <c:pt idx="4">
                  <c:v>-1</c:v>
                </c:pt>
                <c:pt idx="5">
                  <c:v>-0.65256797583081561</c:v>
                </c:pt>
                <c:pt idx="6">
                  <c:v>0.57401812688821741</c:v>
                </c:pt>
                <c:pt idx="7">
                  <c:v>-0.92145015105740191</c:v>
                </c:pt>
                <c:pt idx="8">
                  <c:v>0.73212487411883176</c:v>
                </c:pt>
                <c:pt idx="9">
                  <c:v>0.9053373615307152</c:v>
                </c:pt>
                <c:pt idx="10">
                  <c:v>0.88418932527693861</c:v>
                </c:pt>
                <c:pt idx="11">
                  <c:v>-0.49244712990936557</c:v>
                </c:pt>
                <c:pt idx="12">
                  <c:v>-0.66364551863041288</c:v>
                </c:pt>
                <c:pt idx="13">
                  <c:v>0.52064451158106761</c:v>
                </c:pt>
                <c:pt idx="14">
                  <c:v>-0.62437059415911378</c:v>
                </c:pt>
                <c:pt idx="15">
                  <c:v>-0.68277945619335356</c:v>
                </c:pt>
                <c:pt idx="16">
                  <c:v>0.33333333333333348</c:v>
                </c:pt>
                <c:pt idx="17">
                  <c:v>-0.42900302114803623</c:v>
                </c:pt>
                <c:pt idx="18">
                  <c:v>-0.8821752265861027</c:v>
                </c:pt>
                <c:pt idx="19">
                  <c:v>-0.57301107754279956</c:v>
                </c:pt>
              </c:numCache>
            </c:numRef>
          </c:xVal>
          <c:yVal>
            <c:numRef>
              <c:f>Sheet1!$H$4:$H$23</c:f>
              <c:numCache>
                <c:formatCode>0.000_ </c:formatCode>
                <c:ptCount val="20"/>
                <c:pt idx="0">
                  <c:v>0.91952662721893486</c:v>
                </c:pt>
                <c:pt idx="1">
                  <c:v>-0.51360946745562142</c:v>
                </c:pt>
                <c:pt idx="2">
                  <c:v>0.79171597633136104</c:v>
                </c:pt>
                <c:pt idx="3">
                  <c:v>0.57869822485207112</c:v>
                </c:pt>
                <c:pt idx="4">
                  <c:v>-0.64497041420118362</c:v>
                </c:pt>
                <c:pt idx="5">
                  <c:v>0.39763313609467454</c:v>
                </c:pt>
                <c:pt idx="6">
                  <c:v>-0.86390532544378718</c:v>
                </c:pt>
                <c:pt idx="7">
                  <c:v>0.33017751479289936</c:v>
                </c:pt>
                <c:pt idx="8">
                  <c:v>1</c:v>
                </c:pt>
                <c:pt idx="9">
                  <c:v>-0.17514792899408294</c:v>
                </c:pt>
                <c:pt idx="10">
                  <c:v>0.66035502958579895</c:v>
                </c:pt>
                <c:pt idx="11">
                  <c:v>-0.85680473372781074</c:v>
                </c:pt>
                <c:pt idx="12">
                  <c:v>-0.64142011834319534</c:v>
                </c:pt>
                <c:pt idx="13">
                  <c:v>-0.22011834319526635</c:v>
                </c:pt>
                <c:pt idx="14">
                  <c:v>0.6568047337278109</c:v>
                </c:pt>
                <c:pt idx="15">
                  <c:v>-1</c:v>
                </c:pt>
                <c:pt idx="16">
                  <c:v>-0.28757396449704142</c:v>
                </c:pt>
                <c:pt idx="17">
                  <c:v>0.49230769230769234</c:v>
                </c:pt>
                <c:pt idx="18">
                  <c:v>-0.94674556213017758</c:v>
                </c:pt>
                <c:pt idx="19">
                  <c:v>-0.48165680473372785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695-4362-981A-1C3D0C68E4F4}"/>
            </c:ext>
          </c:extLst>
        </c:ser>
        <c:ser>
          <c:idx val="1"/>
          <c:order val="1"/>
          <c:tx>
            <c:v>weight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 w="25400">
                <a:solidFill>
                  <a:srgbClr val="FF0000"/>
                </a:solidFill>
              </a:ln>
            </c:spPr>
          </c:marker>
          <c:xVal>
            <c:numRef>
              <c:f>Sheet1!$A$13:$A$16</c:f>
              <c:numCache>
                <c:formatCode>0.000_ </c:formatCode>
                <c:ptCount val="4"/>
                <c:pt idx="0">
                  <c:v>0.80650266148755567</c:v>
                </c:pt>
                <c:pt idx="1">
                  <c:v>-0.67544238239102294</c:v>
                </c:pt>
                <c:pt idx="2">
                  <c:v>0.49251210083487651</c:v>
                </c:pt>
                <c:pt idx="3">
                  <c:v>-0.55796927700250964</c:v>
                </c:pt>
              </c:numCache>
            </c:numRef>
          </c:xVal>
          <c:yVal>
            <c:numRef>
              <c:f>Sheet1!$B$13:$B$16</c:f>
              <c:numCache>
                <c:formatCode>0.000_ </c:formatCode>
                <c:ptCount val="4"/>
                <c:pt idx="0">
                  <c:v>0.77616229923922242</c:v>
                </c:pt>
                <c:pt idx="1">
                  <c:v>-0.69024138254907497</c:v>
                </c:pt>
                <c:pt idx="2">
                  <c:v>-0.30013361328497812</c:v>
                </c:pt>
                <c:pt idx="3">
                  <c:v>0.51700948624025556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695-4362-981A-1C3D0C68E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150400"/>
        <c:axId val="707150976"/>
      </c:scatterChart>
      <c:valAx>
        <c:axId val="707150400"/>
        <c:scaling>
          <c:orientation val="minMax"/>
        </c:scaling>
        <c:delete val="0"/>
        <c:axPos val="b"/>
        <c:numFmt formatCode="0.000_ " sourceLinked="1"/>
        <c:majorTickMark val="none"/>
        <c:minorTickMark val="none"/>
        <c:tickLblPos val="none"/>
        <c:crossAx val="707150976"/>
        <c:crosses val="autoZero"/>
        <c:crossBetween val="midCat"/>
      </c:valAx>
      <c:valAx>
        <c:axId val="70715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  <a:alpha val="50000"/>
                </a:schemeClr>
              </a:solidFill>
            </a:ln>
          </c:spPr>
        </c:majorGridlines>
        <c:numFmt formatCode="0.000_ " sourceLinked="1"/>
        <c:majorTickMark val="none"/>
        <c:minorTickMark val="none"/>
        <c:tickLblPos val="none"/>
        <c:crossAx val="70715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1464983307681424E-2"/>
          <c:y val="1.3430672159357573E-2"/>
          <c:w val="0.42298201393381069"/>
          <c:h val="7.137230362760946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Relationship Id="rId9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0</xdr:row>
          <xdr:rowOff>133350</xdr:rowOff>
        </xdr:from>
        <xdr:to>
          <xdr:col>16</xdr:col>
          <xdr:colOff>200025</xdr:colOff>
          <xdr:row>2</xdr:row>
          <xdr:rowOff>123825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(경쟁)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13</xdr:col>
      <xdr:colOff>28575</xdr:colOff>
      <xdr:row>5</xdr:row>
      <xdr:rowOff>28575</xdr:rowOff>
    </xdr:from>
    <xdr:to>
      <xdr:col>18</xdr:col>
      <xdr:colOff>0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23</xdr:row>
      <xdr:rowOff>104775</xdr:rowOff>
    </xdr:from>
    <xdr:to>
      <xdr:col>17</xdr:col>
      <xdr:colOff>657225</xdr:colOff>
      <xdr:row>36</xdr:row>
      <xdr:rowOff>38100</xdr:rowOff>
    </xdr:to>
    <xdr:grpSp>
      <xdr:nvGrpSpPr>
        <xdr:cNvPr id="13" name="그룹 12"/>
        <xdr:cNvGrpSpPr/>
      </xdr:nvGrpSpPr>
      <xdr:grpSpPr>
        <a:xfrm>
          <a:off x="5972175" y="3400425"/>
          <a:ext cx="4581525" cy="1790700"/>
          <a:chOff x="5715000" y="3400425"/>
          <a:chExt cx="4581525" cy="1790700"/>
        </a:xfrm>
      </xdr:grpSpPr>
      <xdr:sp macro="" textlink="">
        <xdr:nvSpPr>
          <xdr:cNvPr id="3" name="타원 2"/>
          <xdr:cNvSpPr/>
        </xdr:nvSpPr>
        <xdr:spPr>
          <a:xfrm>
            <a:off x="7038975" y="4743450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0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5" name="타원 4"/>
          <xdr:cNvSpPr/>
        </xdr:nvSpPr>
        <xdr:spPr>
          <a:xfrm>
            <a:off x="8772525" y="4733925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1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6" name="타원 5"/>
          <xdr:cNvSpPr/>
        </xdr:nvSpPr>
        <xdr:spPr>
          <a:xfrm>
            <a:off x="5715000" y="3438525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2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7" name="타원 6"/>
          <xdr:cNvSpPr/>
        </xdr:nvSpPr>
        <xdr:spPr>
          <a:xfrm>
            <a:off x="7134225" y="3429000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3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8" name="타원 7"/>
          <xdr:cNvSpPr/>
        </xdr:nvSpPr>
        <xdr:spPr>
          <a:xfrm>
            <a:off x="8553450" y="3409950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4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9" name="타원 8"/>
          <xdr:cNvSpPr/>
        </xdr:nvSpPr>
        <xdr:spPr>
          <a:xfrm>
            <a:off x="9839325" y="3400425"/>
            <a:ext cx="457200" cy="447675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tx1"/>
                </a:solidFill>
              </a:rPr>
              <a:t>5</a:t>
            </a:r>
            <a:endParaRPr lang="ko-KR" altLang="en-US" sz="1100" b="1">
              <a:solidFill>
                <a:schemeClr val="tx1"/>
              </a:solidFill>
            </a:endParaRPr>
          </a:p>
        </xdr:txBody>
      </xdr:sp>
      <xdr:cxnSp macro="">
        <xdr:nvCxnSpPr>
          <xdr:cNvPr id="10" name="직선 연결선 9"/>
          <xdr:cNvCxnSpPr>
            <a:stCxn id="3" idx="0"/>
            <a:endCxn id="6" idx="4"/>
          </xdr:cNvCxnSpPr>
        </xdr:nvCxnSpPr>
        <xdr:spPr>
          <a:xfrm flipH="1" flipV="1">
            <a:off x="5943600" y="3886200"/>
            <a:ext cx="1323975" cy="8572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직선 연결선 11"/>
          <xdr:cNvCxnSpPr>
            <a:stCxn id="6" idx="4"/>
            <a:endCxn id="5" idx="0"/>
          </xdr:cNvCxnSpPr>
        </xdr:nvCxnSpPr>
        <xdr:spPr>
          <a:xfrm>
            <a:off x="5943600" y="3886200"/>
            <a:ext cx="3057525" cy="8477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연결선 13"/>
          <xdr:cNvCxnSpPr>
            <a:stCxn id="3" idx="0"/>
            <a:endCxn id="7" idx="4"/>
          </xdr:cNvCxnSpPr>
        </xdr:nvCxnSpPr>
        <xdr:spPr>
          <a:xfrm flipV="1">
            <a:off x="7267575" y="3876675"/>
            <a:ext cx="95250" cy="8667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연결선 15"/>
          <xdr:cNvCxnSpPr>
            <a:stCxn id="3" idx="0"/>
            <a:endCxn id="8" idx="4"/>
          </xdr:cNvCxnSpPr>
        </xdr:nvCxnSpPr>
        <xdr:spPr>
          <a:xfrm flipV="1">
            <a:off x="7267575" y="3857625"/>
            <a:ext cx="1514475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/>
          <xdr:cNvCxnSpPr>
            <a:stCxn id="3" idx="0"/>
            <a:endCxn id="9" idx="4"/>
          </xdr:cNvCxnSpPr>
        </xdr:nvCxnSpPr>
        <xdr:spPr>
          <a:xfrm flipV="1">
            <a:off x="7267575" y="3848100"/>
            <a:ext cx="2800350" cy="8953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직선 연결선 19"/>
          <xdr:cNvCxnSpPr>
            <a:stCxn id="5" idx="0"/>
            <a:endCxn id="7" idx="4"/>
          </xdr:cNvCxnSpPr>
        </xdr:nvCxnSpPr>
        <xdr:spPr>
          <a:xfrm flipH="1" flipV="1">
            <a:off x="7362825" y="3876675"/>
            <a:ext cx="1638300" cy="8572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직선 연결선 21"/>
          <xdr:cNvCxnSpPr>
            <a:stCxn id="5" idx="0"/>
            <a:endCxn id="8" idx="4"/>
          </xdr:cNvCxnSpPr>
        </xdr:nvCxnSpPr>
        <xdr:spPr>
          <a:xfrm flipH="1" flipV="1">
            <a:off x="8782050" y="3857625"/>
            <a:ext cx="219075" cy="8763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>
            <a:stCxn id="5" idx="0"/>
            <a:endCxn id="9" idx="4"/>
          </xdr:cNvCxnSpPr>
        </xdr:nvCxnSpPr>
        <xdr:spPr>
          <a:xfrm flipV="1">
            <a:off x="9001125" y="3848100"/>
            <a:ext cx="106680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6" name="그림 25"/>
              <xdr:cNvPicPr>
                <a:picLocks noChangeAspect="1" noChangeArrowheads="1"/>
                <a:extLst>
                  <a:ext uri="{84589F7E-364E-4C9E-8A38-B11213B215E9}">
                    <a14:cameraTool cellRange="$C$29" spid="_x0000_s4218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5886450" y="4095750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7" name="그림 26"/>
              <xdr:cNvPicPr>
                <a:picLocks noChangeAspect="1" noChangeArrowheads="1"/>
                <a:extLst>
                  <a:ext uri="{84589F7E-364E-4C9E-8A38-B11213B215E9}">
                    <a14:cameraTool cellRange="$C$30" spid="_x0000_s4219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6438900" y="4038600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8" name="그림 27"/>
              <xdr:cNvPicPr>
                <a:picLocks noChangeAspect="1" noChangeArrowheads="1"/>
                <a:extLst>
                  <a:ext uri="{84589F7E-364E-4C9E-8A38-B11213B215E9}">
                    <a14:cameraTool cellRange="$C$31" spid="_x0000_s4220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7029450" y="4381500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29" name="그림 28"/>
              <xdr:cNvPicPr>
                <a:picLocks noChangeAspect="1" noChangeArrowheads="1"/>
                <a:extLst>
                  <a:ext uri="{84589F7E-364E-4C9E-8A38-B11213B215E9}">
                    <a14:cameraTool cellRange="$C$32" spid="_x0000_s4221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524750" y="4019550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0" name="그림 29"/>
              <xdr:cNvPicPr>
                <a:picLocks noChangeAspect="1" noChangeArrowheads="1"/>
                <a:extLst>
                  <a:ext uri="{84589F7E-364E-4C9E-8A38-B11213B215E9}">
                    <a14:cameraTool cellRange="$C$33" spid="_x0000_s4222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8162925" y="4038600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1" name="그림 30"/>
              <xdr:cNvPicPr>
                <a:picLocks noChangeAspect="1" noChangeArrowheads="1"/>
                <a:extLst>
                  <a:ext uri="{84589F7E-364E-4C9E-8A38-B11213B215E9}">
                    <a14:cameraTool cellRange="$C$34" spid="_x0000_s4223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8677275" y="4371975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2" name="그림 31"/>
              <xdr:cNvPicPr>
                <a:picLocks noChangeAspect="1" noChangeArrowheads="1"/>
                <a:extLst>
                  <a:ext uri="{84589F7E-364E-4C9E-8A38-B11213B215E9}">
                    <a14:cameraTool cellRange="$C$35" spid="_x0000_s4224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9105900" y="3990975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3" name="그림 32"/>
              <xdr:cNvPicPr>
                <a:picLocks noChangeAspect="1" noChangeArrowheads="1"/>
                <a:extLst>
                  <a:ext uri="{84589F7E-364E-4C9E-8A38-B11213B215E9}">
                    <a14:cameraTool cellRange="$C$36" spid="_x0000_s4225"/>
                  </a:ext>
                </a:extLst>
              </xdr:cNvPicPr>
            </xdr:nvPicPr>
            <xdr:blipFill>
              <a:blip xmlns:r="http://schemas.openxmlformats.org/officeDocument/2006/relationships" r:embed="rId9"/>
              <a:srcRect/>
              <a:stretch>
                <a:fillRect/>
              </a:stretch>
            </xdr:blipFill>
            <xdr:spPr bwMode="auto">
              <a:xfrm>
                <a:off x="9353550" y="4238625"/>
                <a:ext cx="514350" cy="1428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133350</xdr:rowOff>
        </xdr:from>
        <xdr:to>
          <xdr:col>14</xdr:col>
          <xdr:colOff>371475</xdr:colOff>
          <xdr:row>2</xdr:row>
          <xdr:rowOff>123825</xdr:rowOff>
        </xdr:to>
        <xdr:sp macro="" textlink="">
          <xdr:nvSpPr>
            <xdr:cNvPr id="1688" name="Button 664" hidden="1">
              <a:extLst>
                <a:ext uri="{63B3BB69-23CF-44E3-9099-C40C66FF867C}">
                  <a14:compatExt spid="_x0000_s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0</xdr:row>
          <xdr:rowOff>123825</xdr:rowOff>
        </xdr:from>
        <xdr:to>
          <xdr:col>18</xdr:col>
          <xdr:colOff>0</xdr:colOff>
          <xdr:row>2</xdr:row>
          <xdr:rowOff>123825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(SOM)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0"/>
  <sheetViews>
    <sheetView tabSelected="1" workbookViewId="0">
      <selection activeCell="H43" sqref="H43"/>
    </sheetView>
  </sheetViews>
  <sheetFormatPr defaultRowHeight="12" x14ac:dyDescent="0.3"/>
  <cols>
    <col min="1" max="1" width="13.75" style="5" customWidth="1"/>
    <col min="2" max="4" width="6.75" style="5" customWidth="1"/>
    <col min="5" max="8" width="9" style="5" customWidth="1"/>
    <col min="9" max="12" width="4.375" style="5" customWidth="1"/>
    <col min="13" max="13" width="6.375" style="5" customWidth="1"/>
    <col min="14" max="16384" width="9" style="5"/>
  </cols>
  <sheetData>
    <row r="1" spans="1:18" x14ac:dyDescent="0.3">
      <c r="A1" s="5" t="s">
        <v>0</v>
      </c>
      <c r="E1" s="24" t="s">
        <v>32</v>
      </c>
      <c r="F1" s="24"/>
      <c r="G1" s="24"/>
      <c r="H1" s="24"/>
      <c r="I1" s="24"/>
      <c r="J1" s="24"/>
      <c r="K1" s="24"/>
      <c r="L1" s="24"/>
      <c r="M1" s="24"/>
    </row>
    <row r="2" spans="1:18" ht="11.25" customHeight="1" x14ac:dyDescent="0.3">
      <c r="A2" s="6"/>
      <c r="B2" s="7" t="s">
        <v>15</v>
      </c>
      <c r="C2" s="7" t="s">
        <v>16</v>
      </c>
      <c r="E2" s="23" t="s">
        <v>10</v>
      </c>
      <c r="F2" s="23"/>
      <c r="G2" s="23" t="s">
        <v>34</v>
      </c>
      <c r="H2" s="23"/>
      <c r="I2" s="23" t="s">
        <v>25</v>
      </c>
      <c r="J2" s="23"/>
      <c r="K2" s="23"/>
      <c r="L2" s="23"/>
      <c r="M2" s="23" t="s">
        <v>22</v>
      </c>
    </row>
    <row r="3" spans="1:18" ht="11.25" customHeight="1" x14ac:dyDescent="0.3">
      <c r="A3" s="6" t="s">
        <v>1</v>
      </c>
      <c r="B3" s="7">
        <v>0</v>
      </c>
      <c r="C3" s="8">
        <v>6</v>
      </c>
      <c r="E3" s="7" t="s">
        <v>19</v>
      </c>
      <c r="F3" s="7" t="s">
        <v>20</v>
      </c>
      <c r="G3" s="7" t="s">
        <v>35</v>
      </c>
      <c r="H3" s="7" t="s">
        <v>36</v>
      </c>
      <c r="I3" s="7">
        <v>2</v>
      </c>
      <c r="J3" s="7">
        <v>3</v>
      </c>
      <c r="K3" s="7">
        <v>4</v>
      </c>
      <c r="L3" s="7">
        <v>5</v>
      </c>
      <c r="M3" s="23"/>
    </row>
    <row r="4" spans="1:18" ht="11.25" customHeight="1" x14ac:dyDescent="0.3">
      <c r="A4" s="6" t="s">
        <v>2</v>
      </c>
      <c r="B4" s="7">
        <v>0</v>
      </c>
      <c r="C4" s="8">
        <v>8</v>
      </c>
      <c r="E4" s="9">
        <v>-4.96</v>
      </c>
      <c r="F4" s="9">
        <v>6.75</v>
      </c>
      <c r="G4" s="9">
        <f>((E4-MIN($E$4:$E$23))/(MAX($E$4:$E$23)-MIN($E$4:$E$23))) * 2 - 1</f>
        <v>-0.49345417925478341</v>
      </c>
      <c r="H4" s="9">
        <f>((F4-MIN($F$4:$F$23))/(MAX($F$4:$F$23)-MIN($F$4:$F$23))) * 2 - 1</f>
        <v>0.91952662721893486</v>
      </c>
      <c r="I4" s="7">
        <v>0</v>
      </c>
      <c r="J4" s="7">
        <v>0</v>
      </c>
      <c r="K4" s="7">
        <v>0</v>
      </c>
      <c r="L4" s="7">
        <v>1</v>
      </c>
      <c r="M4" s="10">
        <f>IF(I4=1,1,IF(J4=1,2,IF(K4=1,3,4)))</f>
        <v>4</v>
      </c>
      <c r="N4" s="8" t="s">
        <v>11</v>
      </c>
      <c r="O4" s="7">
        <v>100</v>
      </c>
      <c r="P4" s="7">
        <v>10</v>
      </c>
      <c r="Q4" s="7" t="s">
        <v>12</v>
      </c>
      <c r="R4" s="7">
        <v>100</v>
      </c>
    </row>
    <row r="5" spans="1:18" ht="11.25" customHeight="1" x14ac:dyDescent="0.3">
      <c r="A5" s="6" t="s">
        <v>3</v>
      </c>
      <c r="B5" s="7">
        <v>0</v>
      </c>
      <c r="C5" s="7">
        <v>2</v>
      </c>
      <c r="E5" s="9">
        <v>9.8699999999999992</v>
      </c>
      <c r="F5" s="9">
        <v>-5.36</v>
      </c>
      <c r="G5" s="9">
        <f t="shared" ref="G5:G23" si="0">((E5-MIN($E$4:$E$23))/(MAX($E$4:$E$23)-MIN($E$4:$E$23))) * 2 - 1</f>
        <v>1</v>
      </c>
      <c r="H5" s="9">
        <f t="shared" ref="H5:H23" si="1">((F5-MIN($F$4:$F$23))/(MAX($F$4:$F$23)-MIN($F$4:$F$23))) * 2 - 1</f>
        <v>-0.51360946745562142</v>
      </c>
      <c r="I5" s="7">
        <v>0</v>
      </c>
      <c r="J5" s="7">
        <v>0</v>
      </c>
      <c r="K5" s="7">
        <v>1</v>
      </c>
      <c r="L5" s="7">
        <v>0</v>
      </c>
      <c r="M5" s="10">
        <f t="shared" ref="M5:M23" si="2">IF(I5=1,1,IF(J5=1,2,IF(K5=1,3,4)))</f>
        <v>3</v>
      </c>
      <c r="N5" s="8" t="s">
        <v>21</v>
      </c>
      <c r="O5" s="9">
        <v>3.2298562345342554</v>
      </c>
      <c r="P5" s="19" t="s">
        <v>33</v>
      </c>
      <c r="Q5" s="20"/>
      <c r="R5" s="7">
        <v>2</v>
      </c>
    </row>
    <row r="6" spans="1:18" ht="11.25" customHeight="1" x14ac:dyDescent="0.3">
      <c r="A6" s="6" t="s">
        <v>17</v>
      </c>
      <c r="B6" s="7">
        <v>0.5</v>
      </c>
      <c r="C6" s="11"/>
      <c r="E6" s="9">
        <v>6.34</v>
      </c>
      <c r="F6" s="9">
        <v>5.67</v>
      </c>
      <c r="G6" s="9">
        <f t="shared" si="0"/>
        <v>0.64451158106747219</v>
      </c>
      <c r="H6" s="9">
        <f t="shared" si="1"/>
        <v>0.79171597633136104</v>
      </c>
      <c r="I6" s="7">
        <v>1</v>
      </c>
      <c r="J6" s="7">
        <v>0</v>
      </c>
      <c r="K6" s="7">
        <v>0</v>
      </c>
      <c r="L6" s="7">
        <v>0</v>
      </c>
      <c r="M6" s="10">
        <f t="shared" si="2"/>
        <v>1</v>
      </c>
    </row>
    <row r="7" spans="1:18" ht="11.25" customHeight="1" x14ac:dyDescent="0.3">
      <c r="A7" s="6" t="s">
        <v>13</v>
      </c>
      <c r="B7" s="7">
        <v>-1</v>
      </c>
      <c r="C7" s="12"/>
      <c r="E7" s="9">
        <v>-4.82</v>
      </c>
      <c r="F7" s="9">
        <v>3.87</v>
      </c>
      <c r="G7" s="9">
        <f t="shared" si="0"/>
        <v>-0.4793554884189325</v>
      </c>
      <c r="H7" s="9">
        <f t="shared" si="1"/>
        <v>0.57869822485207112</v>
      </c>
      <c r="I7" s="7">
        <v>0</v>
      </c>
      <c r="J7" s="7">
        <v>0</v>
      </c>
      <c r="K7" s="7">
        <v>0</v>
      </c>
      <c r="L7" s="7">
        <v>1</v>
      </c>
      <c r="M7" s="10">
        <f t="shared" si="2"/>
        <v>4</v>
      </c>
    </row>
    <row r="8" spans="1:18" ht="11.25" customHeight="1" x14ac:dyDescent="0.3">
      <c r="A8" s="6" t="s">
        <v>14</v>
      </c>
      <c r="B8" s="7">
        <v>1</v>
      </c>
      <c r="C8" s="12"/>
      <c r="E8" s="9">
        <v>-9.99</v>
      </c>
      <c r="F8" s="9">
        <v>-6.4700000000000006</v>
      </c>
      <c r="G8" s="9">
        <f t="shared" si="0"/>
        <v>-1</v>
      </c>
      <c r="H8" s="9">
        <f t="shared" si="1"/>
        <v>-0.64497041420118362</v>
      </c>
      <c r="I8" s="7">
        <v>0</v>
      </c>
      <c r="J8" s="7">
        <v>1</v>
      </c>
      <c r="K8" s="7">
        <v>0</v>
      </c>
      <c r="L8" s="7">
        <v>0</v>
      </c>
      <c r="M8" s="10">
        <f t="shared" si="2"/>
        <v>2</v>
      </c>
    </row>
    <row r="9" spans="1:18" ht="11.25" customHeight="1" x14ac:dyDescent="0.3">
      <c r="A9" s="6" t="s">
        <v>30</v>
      </c>
      <c r="B9" s="7">
        <v>2</v>
      </c>
      <c r="C9" s="12" t="str">
        <f>IF(B9=1,"VARIABLE",IF(B9=2,"NORMALIZED",""))</f>
        <v>NORMALIZED</v>
      </c>
      <c r="E9" s="9">
        <v>-6.54</v>
      </c>
      <c r="F9" s="9">
        <v>2.3400000000000003</v>
      </c>
      <c r="G9" s="9">
        <f t="shared" si="0"/>
        <v>-0.65256797583081561</v>
      </c>
      <c r="H9" s="9">
        <f t="shared" si="1"/>
        <v>0.39763313609467454</v>
      </c>
      <c r="I9" s="7">
        <v>0</v>
      </c>
      <c r="J9" s="7">
        <v>0</v>
      </c>
      <c r="K9" s="7">
        <v>0</v>
      </c>
      <c r="L9" s="7">
        <v>1</v>
      </c>
      <c r="M9" s="10">
        <f t="shared" si="2"/>
        <v>4</v>
      </c>
    </row>
    <row r="10" spans="1:18" ht="11.25" customHeight="1" x14ac:dyDescent="0.3">
      <c r="A10" s="12"/>
      <c r="B10" s="11"/>
      <c r="C10" s="12"/>
      <c r="E10" s="9">
        <v>5.64</v>
      </c>
      <c r="F10" s="9">
        <v>-8.32</v>
      </c>
      <c r="G10" s="9">
        <f t="shared" si="0"/>
        <v>0.57401812688821741</v>
      </c>
      <c r="H10" s="9">
        <f t="shared" si="1"/>
        <v>-0.86390532544378718</v>
      </c>
      <c r="I10" s="7">
        <v>0</v>
      </c>
      <c r="J10" s="7">
        <v>0</v>
      </c>
      <c r="K10" s="7">
        <v>1</v>
      </c>
      <c r="L10" s="7">
        <v>0</v>
      </c>
      <c r="M10" s="10">
        <f t="shared" si="2"/>
        <v>3</v>
      </c>
    </row>
    <row r="11" spans="1:18" ht="11.25" customHeight="1" x14ac:dyDescent="0.3">
      <c r="A11" s="5" t="s">
        <v>26</v>
      </c>
      <c r="E11" s="9">
        <v>-9.2100000000000009</v>
      </c>
      <c r="F11" s="9">
        <v>1.77</v>
      </c>
      <c r="G11" s="9">
        <f t="shared" si="0"/>
        <v>-0.92145015105740191</v>
      </c>
      <c r="H11" s="9">
        <f t="shared" si="1"/>
        <v>0.33017751479289936</v>
      </c>
      <c r="I11" s="7">
        <v>0</v>
      </c>
      <c r="J11" s="7">
        <v>0</v>
      </c>
      <c r="K11" s="7">
        <v>0</v>
      </c>
      <c r="L11" s="7">
        <v>1</v>
      </c>
      <c r="M11" s="10">
        <f t="shared" si="2"/>
        <v>4</v>
      </c>
    </row>
    <row r="12" spans="1:18" ht="11.25" customHeight="1" x14ac:dyDescent="0.3">
      <c r="A12" s="7" t="s">
        <v>23</v>
      </c>
      <c r="B12" s="7" t="s">
        <v>24</v>
      </c>
      <c r="C12" s="7" t="s">
        <v>25</v>
      </c>
      <c r="E12" s="9">
        <v>7.21</v>
      </c>
      <c r="F12" s="9">
        <v>7.43</v>
      </c>
      <c r="G12" s="9">
        <f t="shared" si="0"/>
        <v>0.73212487411883176</v>
      </c>
      <c r="H12" s="9">
        <f t="shared" si="1"/>
        <v>1</v>
      </c>
      <c r="I12" s="7">
        <v>1</v>
      </c>
      <c r="J12" s="7">
        <v>0</v>
      </c>
      <c r="K12" s="7">
        <v>0</v>
      </c>
      <c r="L12" s="7">
        <v>0</v>
      </c>
      <c r="M12" s="10">
        <f t="shared" si="2"/>
        <v>1</v>
      </c>
    </row>
    <row r="13" spans="1:18" ht="11.25" customHeight="1" x14ac:dyDescent="0.3">
      <c r="A13" s="9">
        <f>C29</f>
        <v>0.80650266148755567</v>
      </c>
      <c r="B13" s="9">
        <f>C30</f>
        <v>0.77616229923922242</v>
      </c>
      <c r="C13" s="7">
        <v>2</v>
      </c>
      <c r="E13" s="9">
        <v>8.93</v>
      </c>
      <c r="F13" s="9">
        <v>-2.5</v>
      </c>
      <c r="G13" s="9">
        <f t="shared" si="0"/>
        <v>0.9053373615307152</v>
      </c>
      <c r="H13" s="9">
        <f t="shared" si="1"/>
        <v>-0.17514792899408294</v>
      </c>
      <c r="I13" s="7">
        <v>1</v>
      </c>
      <c r="J13" s="7">
        <v>0</v>
      </c>
      <c r="K13" s="7">
        <v>0</v>
      </c>
      <c r="L13" s="7">
        <v>0</v>
      </c>
      <c r="M13" s="10">
        <f t="shared" si="2"/>
        <v>1</v>
      </c>
    </row>
    <row r="14" spans="1:18" ht="11.25" customHeight="1" x14ac:dyDescent="0.3">
      <c r="A14" s="9">
        <f>C31</f>
        <v>-0.67544238239102294</v>
      </c>
      <c r="B14" s="9">
        <f>C32</f>
        <v>-0.69024138254907497</v>
      </c>
      <c r="C14" s="7">
        <v>3</v>
      </c>
      <c r="E14" s="9">
        <v>8.7200000000000006</v>
      </c>
      <c r="F14" s="9">
        <v>4.5600000000000005</v>
      </c>
      <c r="G14" s="9">
        <f t="shared" si="0"/>
        <v>0.88418932527693861</v>
      </c>
      <c r="H14" s="9">
        <f t="shared" si="1"/>
        <v>0.66035502958579895</v>
      </c>
      <c r="I14" s="7">
        <v>1</v>
      </c>
      <c r="J14" s="7">
        <v>0</v>
      </c>
      <c r="K14" s="7">
        <v>0</v>
      </c>
      <c r="L14" s="7">
        <v>0</v>
      </c>
      <c r="M14" s="10">
        <f t="shared" si="2"/>
        <v>1</v>
      </c>
    </row>
    <row r="15" spans="1:18" ht="11.25" customHeight="1" x14ac:dyDescent="0.3">
      <c r="A15" s="9">
        <f>C33</f>
        <v>0.49251210083487651</v>
      </c>
      <c r="B15" s="9">
        <f>C34</f>
        <v>-0.30013361328497812</v>
      </c>
      <c r="C15" s="7">
        <v>4</v>
      </c>
      <c r="E15" s="9">
        <v>-4.95</v>
      </c>
      <c r="F15" s="9">
        <v>-8.26</v>
      </c>
      <c r="G15" s="9">
        <f t="shared" si="0"/>
        <v>-0.49244712990936557</v>
      </c>
      <c r="H15" s="9">
        <f t="shared" si="1"/>
        <v>-0.85680473372781074</v>
      </c>
      <c r="I15" s="7">
        <v>0</v>
      </c>
      <c r="J15" s="7">
        <v>1</v>
      </c>
      <c r="K15" s="7">
        <v>0</v>
      </c>
      <c r="L15" s="7">
        <v>0</v>
      </c>
      <c r="M15" s="10">
        <f t="shared" si="2"/>
        <v>2</v>
      </c>
      <c r="O15" s="13"/>
      <c r="P15" s="13"/>
    </row>
    <row r="16" spans="1:18" ht="11.25" customHeight="1" x14ac:dyDescent="0.3">
      <c r="A16" s="9">
        <f>C35</f>
        <v>-0.55796927700250964</v>
      </c>
      <c r="B16" s="9">
        <f>C36</f>
        <v>0.51700948624025556</v>
      </c>
      <c r="C16" s="7">
        <v>5</v>
      </c>
      <c r="E16" s="9">
        <v>-6.65</v>
      </c>
      <c r="F16" s="9">
        <v>-6.44</v>
      </c>
      <c r="G16" s="9">
        <f t="shared" si="0"/>
        <v>-0.66364551863041288</v>
      </c>
      <c r="H16" s="9">
        <f t="shared" si="1"/>
        <v>-0.64142011834319534</v>
      </c>
      <c r="I16" s="7">
        <v>0</v>
      </c>
      <c r="J16" s="7">
        <v>1</v>
      </c>
      <c r="K16" s="7">
        <v>0</v>
      </c>
      <c r="L16" s="7">
        <v>0</v>
      </c>
      <c r="M16" s="10">
        <f t="shared" si="2"/>
        <v>2</v>
      </c>
      <c r="O16" s="13"/>
      <c r="P16" s="13"/>
    </row>
    <row r="17" spans="1:16" ht="11.25" customHeight="1" x14ac:dyDescent="0.3">
      <c r="E17" s="9">
        <v>5.1100000000000003</v>
      </c>
      <c r="F17" s="9">
        <v>-2.88</v>
      </c>
      <c r="G17" s="9">
        <f t="shared" si="0"/>
        <v>0.52064451158106761</v>
      </c>
      <c r="H17" s="9">
        <f t="shared" si="1"/>
        <v>-0.22011834319526635</v>
      </c>
      <c r="I17" s="7">
        <v>0</v>
      </c>
      <c r="J17" s="7">
        <v>0</v>
      </c>
      <c r="K17" s="7">
        <v>1</v>
      </c>
      <c r="L17" s="7">
        <v>0</v>
      </c>
      <c r="M17" s="10">
        <f t="shared" si="2"/>
        <v>3</v>
      </c>
      <c r="O17" s="13"/>
      <c r="P17" s="13"/>
    </row>
    <row r="18" spans="1:16" ht="11.25" customHeight="1" x14ac:dyDescent="0.3">
      <c r="A18" s="5" t="s">
        <v>1</v>
      </c>
      <c r="E18" s="9">
        <v>-6.26</v>
      </c>
      <c r="F18" s="9">
        <v>4.53</v>
      </c>
      <c r="G18" s="9">
        <f t="shared" si="0"/>
        <v>-0.62437059415911378</v>
      </c>
      <c r="H18" s="9">
        <f t="shared" si="1"/>
        <v>0.6568047337278109</v>
      </c>
      <c r="I18" s="7">
        <v>0</v>
      </c>
      <c r="J18" s="7">
        <v>0</v>
      </c>
      <c r="K18" s="7">
        <v>0</v>
      </c>
      <c r="L18" s="7">
        <v>1</v>
      </c>
      <c r="M18" s="10">
        <f t="shared" si="2"/>
        <v>4</v>
      </c>
      <c r="O18" s="13"/>
      <c r="P18" s="13"/>
    </row>
    <row r="19" spans="1:16" ht="11.25" customHeight="1" x14ac:dyDescent="0.3">
      <c r="A19" s="7" t="s">
        <v>4</v>
      </c>
      <c r="B19" s="7" t="s">
        <v>18</v>
      </c>
      <c r="C19" s="7" t="s">
        <v>5</v>
      </c>
      <c r="D19" s="14" t="s">
        <v>31</v>
      </c>
      <c r="E19" s="9">
        <v>-6.8400000000000007</v>
      </c>
      <c r="F19" s="9">
        <v>-9.4699999999999989</v>
      </c>
      <c r="G19" s="9">
        <f t="shared" si="0"/>
        <v>-0.68277945619335356</v>
      </c>
      <c r="H19" s="9">
        <f t="shared" si="1"/>
        <v>-1</v>
      </c>
      <c r="I19" s="7">
        <v>0</v>
      </c>
      <c r="J19" s="7">
        <v>1</v>
      </c>
      <c r="K19" s="7">
        <v>0</v>
      </c>
      <c r="L19" s="7">
        <v>0</v>
      </c>
      <c r="M19" s="10">
        <f t="shared" si="2"/>
        <v>2</v>
      </c>
      <c r="O19" s="13"/>
      <c r="P19" s="13"/>
    </row>
    <row r="20" spans="1:16" ht="11.25" customHeight="1" x14ac:dyDescent="0.3">
      <c r="A20" s="7">
        <v>0</v>
      </c>
      <c r="B20" s="9">
        <v>-5.75</v>
      </c>
      <c r="C20" s="9">
        <v>0</v>
      </c>
      <c r="D20" s="14">
        <v>0</v>
      </c>
      <c r="E20" s="9">
        <v>3.25</v>
      </c>
      <c r="F20" s="9">
        <v>-3.4499999999999997</v>
      </c>
      <c r="G20" s="9">
        <f t="shared" si="0"/>
        <v>0.33333333333333348</v>
      </c>
      <c r="H20" s="9">
        <f t="shared" si="1"/>
        <v>-0.28757396449704142</v>
      </c>
      <c r="I20" s="7">
        <v>0</v>
      </c>
      <c r="J20" s="7">
        <v>0</v>
      </c>
      <c r="K20" s="7">
        <v>1</v>
      </c>
      <c r="L20" s="7">
        <v>0</v>
      </c>
      <c r="M20" s="10">
        <f t="shared" si="2"/>
        <v>3</v>
      </c>
    </row>
    <row r="21" spans="1:16" ht="11.25" customHeight="1" x14ac:dyDescent="0.3">
      <c r="A21" s="7">
        <v>1</v>
      </c>
      <c r="B21" s="9">
        <v>-5.09</v>
      </c>
      <c r="C21" s="9">
        <v>0</v>
      </c>
      <c r="D21" s="14">
        <v>0</v>
      </c>
      <c r="E21" s="9">
        <v>-4.32</v>
      </c>
      <c r="F21" s="9">
        <v>3.14</v>
      </c>
      <c r="G21" s="9">
        <f t="shared" si="0"/>
        <v>-0.42900302114803623</v>
      </c>
      <c r="H21" s="9">
        <f t="shared" si="1"/>
        <v>0.49230769230769234</v>
      </c>
      <c r="I21" s="7">
        <v>0</v>
      </c>
      <c r="J21" s="7">
        <v>0</v>
      </c>
      <c r="K21" s="7">
        <v>0</v>
      </c>
      <c r="L21" s="7">
        <v>1</v>
      </c>
      <c r="M21" s="10">
        <f t="shared" si="2"/>
        <v>4</v>
      </c>
    </row>
    <row r="22" spans="1:16" ht="11.25" customHeight="1" x14ac:dyDescent="0.3">
      <c r="A22" s="7">
        <v>2</v>
      </c>
      <c r="B22" s="9">
        <v>0</v>
      </c>
      <c r="C22" s="9">
        <v>-8.5880564066810869</v>
      </c>
      <c r="D22" s="14">
        <v>0</v>
      </c>
      <c r="E22" s="9">
        <v>-8.82</v>
      </c>
      <c r="F22" s="9">
        <v>-9.02</v>
      </c>
      <c r="G22" s="9">
        <f t="shared" si="0"/>
        <v>-0.8821752265861027</v>
      </c>
      <c r="H22" s="9">
        <f t="shared" si="1"/>
        <v>-0.94674556213017758</v>
      </c>
      <c r="I22" s="7">
        <v>0</v>
      </c>
      <c r="J22" s="7">
        <v>1</v>
      </c>
      <c r="K22" s="7">
        <v>0</v>
      </c>
      <c r="L22" s="7">
        <v>0</v>
      </c>
      <c r="M22" s="10">
        <f t="shared" si="2"/>
        <v>2</v>
      </c>
    </row>
    <row r="23" spans="1:16" ht="11.25" customHeight="1" x14ac:dyDescent="0.3">
      <c r="A23" s="7">
        <v>3</v>
      </c>
      <c r="B23" s="9">
        <v>1</v>
      </c>
      <c r="C23" s="9">
        <v>7.3971223359231733</v>
      </c>
      <c r="D23" s="14">
        <v>2</v>
      </c>
      <c r="E23" s="9">
        <v>-5.75</v>
      </c>
      <c r="F23" s="9">
        <v>-5.09</v>
      </c>
      <c r="G23" s="9">
        <f t="shared" si="0"/>
        <v>-0.57301107754279956</v>
      </c>
      <c r="H23" s="9">
        <f t="shared" si="1"/>
        <v>-0.48165680473372785</v>
      </c>
      <c r="I23" s="7">
        <v>0</v>
      </c>
      <c r="J23" s="7">
        <v>1</v>
      </c>
      <c r="K23" s="7">
        <v>0</v>
      </c>
      <c r="L23" s="7">
        <v>0</v>
      </c>
      <c r="M23" s="10">
        <f t="shared" si="2"/>
        <v>2</v>
      </c>
    </row>
    <row r="24" spans="1:16" ht="11.25" customHeight="1" x14ac:dyDescent="0.3">
      <c r="A24" s="7">
        <v>4</v>
      </c>
      <c r="B24" s="9">
        <v>0</v>
      </c>
      <c r="C24" s="9">
        <v>-1.3042644881800014</v>
      </c>
      <c r="D24" s="7">
        <v>4</v>
      </c>
      <c r="H24" s="11"/>
    </row>
    <row r="25" spans="1:16" ht="11.25" customHeight="1" x14ac:dyDescent="0.3">
      <c r="A25" s="7">
        <v>5</v>
      </c>
      <c r="B25" s="9">
        <v>0</v>
      </c>
      <c r="C25" s="9">
        <v>0.57674505780153007</v>
      </c>
      <c r="D25" s="7">
        <v>6</v>
      </c>
      <c r="E25" s="11"/>
      <c r="F25" s="11"/>
      <c r="G25" s="11"/>
      <c r="H25" s="11"/>
      <c r="I25" s="11"/>
      <c r="J25" s="11"/>
      <c r="K25" s="11"/>
      <c r="L25" s="11"/>
    </row>
    <row r="26" spans="1:16" ht="11.25" customHeight="1" x14ac:dyDescent="0.3">
      <c r="E26" s="11"/>
      <c r="F26" s="11"/>
      <c r="G26" s="11"/>
      <c r="H26" s="11"/>
      <c r="I26" s="11"/>
      <c r="J26" s="11"/>
      <c r="K26" s="11"/>
      <c r="L26" s="11"/>
    </row>
    <row r="27" spans="1:16" ht="11.25" customHeight="1" x14ac:dyDescent="0.3">
      <c r="A27" s="5" t="s">
        <v>2</v>
      </c>
      <c r="J27" s="11"/>
      <c r="K27" s="11"/>
      <c r="L27" s="11"/>
    </row>
    <row r="28" spans="1:16" ht="11.25" customHeight="1" x14ac:dyDescent="0.3">
      <c r="A28" s="7" t="s">
        <v>4</v>
      </c>
      <c r="B28" s="7" t="s">
        <v>6</v>
      </c>
      <c r="C28" s="7" t="s">
        <v>7</v>
      </c>
      <c r="D28" s="7" t="s">
        <v>8</v>
      </c>
      <c r="E28" s="19" t="s">
        <v>9</v>
      </c>
      <c r="F28" s="20"/>
      <c r="G28" s="11"/>
      <c r="H28" s="11"/>
      <c r="I28" s="11"/>
      <c r="J28" s="11"/>
      <c r="K28" s="11"/>
      <c r="L28" s="11"/>
    </row>
    <row r="29" spans="1:16" ht="11.25" customHeight="1" x14ac:dyDescent="0.3">
      <c r="A29" s="7">
        <v>0</v>
      </c>
      <c r="B29" s="7">
        <v>2</v>
      </c>
      <c r="C29" s="15">
        <v>0.80650266148755567</v>
      </c>
      <c r="D29" s="7">
        <v>0</v>
      </c>
      <c r="E29" s="21">
        <f>C29</f>
        <v>0.80650266148755567</v>
      </c>
      <c r="F29" s="22"/>
      <c r="G29" s="16"/>
      <c r="H29" s="17"/>
      <c r="I29" s="17"/>
      <c r="J29" s="11"/>
      <c r="K29" s="11"/>
      <c r="L29" s="11"/>
    </row>
    <row r="30" spans="1:16" ht="11.25" customHeight="1" x14ac:dyDescent="0.3">
      <c r="A30" s="7">
        <v>1</v>
      </c>
      <c r="B30" s="7">
        <v>2</v>
      </c>
      <c r="C30" s="15">
        <v>0.77616229923922242</v>
      </c>
      <c r="D30" s="7">
        <v>1</v>
      </c>
      <c r="E30" s="21">
        <f t="shared" ref="E30:E34" si="3">C30</f>
        <v>0.77616229923922242</v>
      </c>
      <c r="F30" s="22"/>
      <c r="G30" s="16"/>
      <c r="H30" s="17"/>
      <c r="I30" s="17"/>
      <c r="J30" s="11"/>
      <c r="K30" s="11"/>
      <c r="L30" s="11"/>
    </row>
    <row r="31" spans="1:16" ht="11.25" customHeight="1" x14ac:dyDescent="0.3">
      <c r="A31" s="7">
        <v>2</v>
      </c>
      <c r="B31" s="7">
        <v>2</v>
      </c>
      <c r="C31" s="15">
        <v>-0.67544238239102294</v>
      </c>
      <c r="D31" s="7">
        <v>0</v>
      </c>
      <c r="E31" s="21">
        <f t="shared" si="3"/>
        <v>-0.67544238239102294</v>
      </c>
      <c r="F31" s="22"/>
      <c r="G31" s="16"/>
      <c r="H31" s="17"/>
      <c r="I31" s="17"/>
      <c r="J31" s="11"/>
      <c r="K31" s="11"/>
      <c r="L31" s="11"/>
    </row>
    <row r="32" spans="1:16" ht="11.25" customHeight="1" x14ac:dyDescent="0.3">
      <c r="A32" s="7">
        <v>3</v>
      </c>
      <c r="B32" s="7">
        <v>2</v>
      </c>
      <c r="C32" s="15">
        <v>-0.69024138254907497</v>
      </c>
      <c r="D32" s="7">
        <v>1</v>
      </c>
      <c r="E32" s="21">
        <f t="shared" si="3"/>
        <v>-0.69024138254907497</v>
      </c>
      <c r="F32" s="22"/>
      <c r="G32" s="16"/>
      <c r="H32" s="17"/>
      <c r="I32" s="17"/>
    </row>
    <row r="33" spans="1:12" ht="11.25" customHeight="1" x14ac:dyDescent="0.3">
      <c r="A33" s="7">
        <v>4</v>
      </c>
      <c r="B33" s="7">
        <v>2</v>
      </c>
      <c r="C33" s="15">
        <v>0.49251210083487651</v>
      </c>
      <c r="D33" s="7">
        <v>0</v>
      </c>
      <c r="E33" s="21">
        <f t="shared" si="3"/>
        <v>0.49251210083487651</v>
      </c>
      <c r="F33" s="22"/>
      <c r="G33" s="16"/>
      <c r="H33" s="17"/>
      <c r="I33" s="17"/>
    </row>
    <row r="34" spans="1:12" ht="11.25" customHeight="1" x14ac:dyDescent="0.3">
      <c r="A34" s="7">
        <v>5</v>
      </c>
      <c r="B34" s="7">
        <v>2</v>
      </c>
      <c r="C34" s="15">
        <v>-0.30013361328497812</v>
      </c>
      <c r="D34" s="7">
        <v>1</v>
      </c>
      <c r="E34" s="21">
        <f t="shared" si="3"/>
        <v>-0.30013361328497812</v>
      </c>
      <c r="F34" s="22"/>
      <c r="G34" s="16"/>
      <c r="H34" s="17"/>
      <c r="I34" s="17"/>
      <c r="J34" s="11"/>
      <c r="K34" s="11"/>
      <c r="L34" s="11"/>
    </row>
    <row r="35" spans="1:12" ht="11.25" customHeight="1" x14ac:dyDescent="0.3">
      <c r="A35" s="7">
        <v>6</v>
      </c>
      <c r="B35" s="7">
        <v>2</v>
      </c>
      <c r="C35" s="15">
        <v>-0.55796927700250964</v>
      </c>
      <c r="D35" s="7">
        <v>0</v>
      </c>
      <c r="E35" s="21">
        <f t="shared" ref="E35:E36" si="4">C35</f>
        <v>-0.55796927700250964</v>
      </c>
      <c r="F35" s="22"/>
      <c r="G35" s="16"/>
      <c r="H35" s="17"/>
      <c r="I35" s="17"/>
      <c r="J35" s="17"/>
      <c r="K35" s="17"/>
      <c r="L35" s="17"/>
    </row>
    <row r="36" spans="1:12" ht="11.25" customHeight="1" x14ac:dyDescent="0.3">
      <c r="A36" s="7">
        <v>7</v>
      </c>
      <c r="B36" s="7">
        <v>2</v>
      </c>
      <c r="C36" s="15">
        <v>0.51700948624025556</v>
      </c>
      <c r="D36" s="7">
        <v>1</v>
      </c>
      <c r="E36" s="21">
        <f t="shared" si="4"/>
        <v>0.51700948624025556</v>
      </c>
      <c r="F36" s="22"/>
      <c r="G36" s="16"/>
      <c r="H36" s="17"/>
      <c r="I36" s="17"/>
      <c r="J36" s="17"/>
      <c r="K36" s="17"/>
      <c r="L36" s="17"/>
    </row>
    <row r="37" spans="1:12" x14ac:dyDescent="0.3">
      <c r="C37" s="18"/>
      <c r="J37" s="17"/>
      <c r="K37" s="17"/>
      <c r="L37" s="17"/>
    </row>
    <row r="38" spans="1:12" x14ac:dyDescent="0.3">
      <c r="J38" s="17"/>
      <c r="K38" s="17"/>
      <c r="L38" s="17"/>
    </row>
    <row r="39" spans="1:12" x14ac:dyDescent="0.3">
      <c r="J39" s="17"/>
      <c r="K39" s="17"/>
      <c r="L39" s="17"/>
    </row>
    <row r="40" spans="1:12" x14ac:dyDescent="0.3">
      <c r="J40" s="17"/>
      <c r="K40" s="17"/>
      <c r="L40" s="17"/>
    </row>
  </sheetData>
  <mergeCells count="15">
    <mergeCell ref="E1:M1"/>
    <mergeCell ref="I2:L2"/>
    <mergeCell ref="G2:H2"/>
    <mergeCell ref="E29:F29"/>
    <mergeCell ref="P5:Q5"/>
    <mergeCell ref="E35:F35"/>
    <mergeCell ref="E36:F36"/>
    <mergeCell ref="E28:F28"/>
    <mergeCell ref="M2:M3"/>
    <mergeCell ref="E2:F2"/>
    <mergeCell ref="E30:F30"/>
    <mergeCell ref="E31:F31"/>
    <mergeCell ref="E32:F32"/>
    <mergeCell ref="E33:F33"/>
    <mergeCell ref="E34:F34"/>
  </mergeCells>
  <phoneticPr fontId="1" type="noConversion"/>
  <conditionalFormatting sqref="E29:E36">
    <cfRule type="dataBar" priority="3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{AF2CAA23-5A22-4746-878A-2D3DDA53C931}</x14:id>
        </ext>
      </extLst>
    </cfRule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{9169CE80-3D9B-4076-A911-538E8E6863B2}</x14:id>
        </ext>
      </extLst>
    </cfRule>
  </conditionalFormatting>
  <conditionalFormatting sqref="E29:E36 G31:I3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{8CABCA97-4D71-4E3A-B4B4-5FC7D0A47136}</x14:id>
        </ext>
      </extLst>
    </cfRule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{0CD30408-D26C-4494-A8AF-9AE0B81517F8}</x14:id>
        </ext>
      </extLst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" r:id="rId4" name="Button 415">
              <controlPr defaultSize="0" print="0" autoFill="0" autoPict="0" macro="[0]!LearnCompetion">
                <anchor moveWithCells="1" sizeWithCells="1">
                  <from>
                    <xdr:col>14</xdr:col>
                    <xdr:colOff>447675</xdr:colOff>
                    <xdr:row>0</xdr:row>
                    <xdr:rowOff>133350</xdr:rowOff>
                  </from>
                  <to>
                    <xdr:col>16</xdr:col>
                    <xdr:colOff>200025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5" name="Button 664">
              <controlPr defaultSize="0" print="0" autoFill="0" autoPict="0" macro="[0]!InitChart">
                <anchor moveWithCells="1" sizeWithCells="1">
                  <from>
                    <xdr:col>13</xdr:col>
                    <xdr:colOff>38100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6" name="Button 825">
              <controlPr defaultSize="0" print="0" autoFill="0" autoPict="0" macro="[0]!LearnSOM">
                <anchor moveWithCells="1" sizeWithCells="1">
                  <from>
                    <xdr:col>16</xdr:col>
                    <xdr:colOff>285750</xdr:colOff>
                    <xdr:row>0</xdr:row>
                    <xdr:rowOff>123825</xdr:rowOff>
                  </from>
                  <to>
                    <xdr:col>18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CAA23-5A22-4746-878A-2D3DDA53C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169CE80-3D9B-4076-A911-538E8E6863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E29:E36</xm:sqref>
        </x14:conditionalFormatting>
        <x14:conditionalFormatting xmlns:xm="http://schemas.microsoft.com/office/excel/2006/main">
          <x14:cfRule type="dataBar" id="{8CABCA97-4D71-4E3A-B4B4-5FC7D0A47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D30408-D26C-4494-A8AF-9AE0B81517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E29:E36 G31:I36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6"/>
  <sheetViews>
    <sheetView topLeftCell="A11" workbookViewId="0">
      <selection activeCell="D28" sqref="D28"/>
    </sheetView>
  </sheetViews>
  <sheetFormatPr defaultRowHeight="13.5" x14ac:dyDescent="0.3"/>
  <cols>
    <col min="1" max="16384" width="9" style="2"/>
  </cols>
  <sheetData>
    <row r="1" spans="1:14" x14ac:dyDescent="0.3">
      <c r="G1" s="2" t="s">
        <v>27</v>
      </c>
      <c r="H1" s="3">
        <f>AVERAGE(H3:H22)</f>
        <v>-0.1202</v>
      </c>
      <c r="I1" s="3">
        <f>AVERAGE(I3:I22)</f>
        <v>-0.13599999999999998</v>
      </c>
    </row>
    <row r="2" spans="1:14" x14ac:dyDescent="0.3">
      <c r="G2" s="2" t="s">
        <v>28</v>
      </c>
      <c r="H2" s="2">
        <f>STDEV(H3:H22)</f>
        <v>0.70502456844089001</v>
      </c>
      <c r="I2" s="2">
        <f>STDEV(I3:I22)</f>
        <v>0.58200841013999471</v>
      </c>
      <c r="J2" s="2" t="s">
        <v>29</v>
      </c>
    </row>
    <row r="3" spans="1:14" x14ac:dyDescent="0.3">
      <c r="A3" s="2">
        <f ca="1">RANDBETWEEN(-1000, 1000) / 100</f>
        <v>3.55</v>
      </c>
      <c r="B3" s="2">
        <f ca="1">RANDBETWEEN(-1000, 1000) / 100</f>
        <v>4.32</v>
      </c>
      <c r="D3" s="1">
        <v>-4.96</v>
      </c>
      <c r="E3" s="1">
        <v>6.75</v>
      </c>
      <c r="H3" s="1">
        <v>-0.496</v>
      </c>
      <c r="I3" s="1">
        <v>0.67500000000000004</v>
      </c>
      <c r="J3" s="2">
        <f>(H3-$H$1)/$H$2</f>
        <v>-0.53303106986903181</v>
      </c>
      <c r="K3" s="2">
        <f>(I3-$I$1)/$I$2</f>
        <v>1.3934506544414442</v>
      </c>
      <c r="M3" s="2">
        <v>-0.71961789520062902</v>
      </c>
      <c r="N3" s="2">
        <f>STDEV(M3:M10)</f>
        <v>1.0647427571325629</v>
      </c>
    </row>
    <row r="4" spans="1:14" x14ac:dyDescent="0.3">
      <c r="A4" s="2">
        <f t="shared" ref="A4:B22" ca="1" si="0">RANDBETWEEN(-1000, 1000) / 100</f>
        <v>-8.24</v>
      </c>
      <c r="B4" s="2">
        <f t="shared" ca="1" si="0"/>
        <v>6.27</v>
      </c>
      <c r="D4" s="1">
        <v>9.8699999999999992</v>
      </c>
      <c r="E4" s="1">
        <v>-5.36</v>
      </c>
      <c r="H4" s="1">
        <v>0.98699999999999999</v>
      </c>
      <c r="I4" s="1">
        <v>-0.53600000000000003</v>
      </c>
      <c r="J4" s="2">
        <f t="shared" ref="J4:J22" si="1">(H4-$H$1)/$H$2</f>
        <v>1.5704417258089194</v>
      </c>
      <c r="K4" s="2">
        <f t="shared" ref="K4:K22" si="2">(I4-$I$1)/$I$2</f>
        <v>-0.68727529195632264</v>
      </c>
      <c r="M4" s="4">
        <v>5.0306892755526501E-2</v>
      </c>
    </row>
    <row r="5" spans="1:14" x14ac:dyDescent="0.3">
      <c r="A5" s="2">
        <f t="shared" ca="1" si="0"/>
        <v>-9.52</v>
      </c>
      <c r="B5" s="2">
        <f t="shared" ca="1" si="0"/>
        <v>4.4400000000000004</v>
      </c>
      <c r="D5" s="1">
        <v>6.34</v>
      </c>
      <c r="E5" s="1">
        <v>5.67</v>
      </c>
      <c r="H5" s="1">
        <v>0.63400000000000001</v>
      </c>
      <c r="I5" s="1">
        <v>0.56699999999999995</v>
      </c>
      <c r="J5" s="2">
        <f t="shared" si="1"/>
        <v>1.0697499544843634</v>
      </c>
      <c r="K5" s="2">
        <f t="shared" si="2"/>
        <v>1.2078863256132368</v>
      </c>
      <c r="M5" s="2">
        <v>-0.64867515526750397</v>
      </c>
    </row>
    <row r="6" spans="1:14" x14ac:dyDescent="0.3">
      <c r="A6" s="2">
        <f t="shared" ca="1" si="0"/>
        <v>-7.53</v>
      </c>
      <c r="B6" s="2">
        <f t="shared" ca="1" si="0"/>
        <v>-9.49</v>
      </c>
      <c r="D6" s="1">
        <v>-4.82</v>
      </c>
      <c r="E6" s="1">
        <v>3.87</v>
      </c>
      <c r="H6" s="1">
        <v>-0.48199999999999998</v>
      </c>
      <c r="I6" s="1">
        <v>0.38700000000000001</v>
      </c>
      <c r="J6" s="2">
        <f t="shared" si="1"/>
        <v>-0.5131736058504941</v>
      </c>
      <c r="K6" s="2">
        <f t="shared" si="2"/>
        <v>0.89861244423289177</v>
      </c>
      <c r="M6" s="2">
        <v>-1.8757899143219099</v>
      </c>
    </row>
    <row r="7" spans="1:14" x14ac:dyDescent="0.3">
      <c r="A7" s="2">
        <f t="shared" ca="1" si="0"/>
        <v>8.9700000000000006</v>
      </c>
      <c r="B7" s="2">
        <f t="shared" ca="1" si="0"/>
        <v>-6.54</v>
      </c>
      <c r="D7" s="1">
        <v>-9.99</v>
      </c>
      <c r="E7" s="1">
        <v>-6.4700000000000006</v>
      </c>
      <c r="H7" s="1">
        <v>-0.999</v>
      </c>
      <c r="I7" s="1">
        <v>-0.64700000000000002</v>
      </c>
      <c r="J7" s="2">
        <f t="shared" si="1"/>
        <v>-1.2464813842493483</v>
      </c>
      <c r="K7" s="2">
        <f t="shared" si="2"/>
        <v>-0.87799418547420216</v>
      </c>
      <c r="M7" s="2">
        <v>0.35762987880048402</v>
      </c>
    </row>
    <row r="8" spans="1:14" x14ac:dyDescent="0.3">
      <c r="A8" s="2">
        <f t="shared" ca="1" si="0"/>
        <v>-3.94</v>
      </c>
      <c r="B8" s="2">
        <f t="shared" ca="1" si="0"/>
        <v>-5.39</v>
      </c>
      <c r="D8" s="1">
        <v>-6.54</v>
      </c>
      <c r="E8" s="1">
        <v>2.3400000000000003</v>
      </c>
      <c r="H8" s="1">
        <v>-0.65400000000000003</v>
      </c>
      <c r="I8" s="1">
        <v>0.23400000000000001</v>
      </c>
      <c r="J8" s="2">
        <f t="shared" si="1"/>
        <v>-0.75713673522109948</v>
      </c>
      <c r="K8" s="2">
        <f t="shared" si="2"/>
        <v>0.63572964505959839</v>
      </c>
      <c r="M8" s="2">
        <v>1.2332497610117901</v>
      </c>
    </row>
    <row r="9" spans="1:14" x14ac:dyDescent="0.3">
      <c r="A9" s="2">
        <f t="shared" ca="1" si="0"/>
        <v>2.93</v>
      </c>
      <c r="B9" s="2">
        <f t="shared" ca="1" si="0"/>
        <v>8.89</v>
      </c>
      <c r="D9" s="1">
        <v>5.64</v>
      </c>
      <c r="E9" s="1">
        <v>-8.32</v>
      </c>
      <c r="H9" s="1">
        <v>0.56399999999999995</v>
      </c>
      <c r="I9" s="1">
        <v>-0.83199999999999996</v>
      </c>
      <c r="J9" s="2">
        <f t="shared" si="1"/>
        <v>0.97046263439167502</v>
      </c>
      <c r="K9" s="2">
        <f t="shared" si="2"/>
        <v>-1.1958590080040012</v>
      </c>
      <c r="M9" s="2">
        <v>0.65823020213866201</v>
      </c>
    </row>
    <row r="10" spans="1:14" x14ac:dyDescent="0.3">
      <c r="A10" s="2">
        <f t="shared" ca="1" si="0"/>
        <v>2.52</v>
      </c>
      <c r="B10" s="2">
        <f t="shared" ca="1" si="0"/>
        <v>5.91</v>
      </c>
      <c r="D10" s="1">
        <v>-9.2100000000000009</v>
      </c>
      <c r="E10" s="1">
        <v>1.77</v>
      </c>
      <c r="H10" s="1">
        <v>-0.92100000000000004</v>
      </c>
      <c r="I10" s="1">
        <v>0.17699999999999999</v>
      </c>
      <c r="J10" s="2">
        <f t="shared" si="1"/>
        <v>-1.135846941860353</v>
      </c>
      <c r="K10" s="2">
        <f t="shared" si="2"/>
        <v>0.53779291595582235</v>
      </c>
      <c r="M10" s="2">
        <v>1.1836641899749201</v>
      </c>
    </row>
    <row r="11" spans="1:14" x14ac:dyDescent="0.3">
      <c r="A11" s="2">
        <f t="shared" ca="1" si="0"/>
        <v>-5.61</v>
      </c>
      <c r="B11" s="2">
        <f t="shared" ca="1" si="0"/>
        <v>-9.75</v>
      </c>
      <c r="D11" s="1">
        <v>7.21</v>
      </c>
      <c r="E11" s="1">
        <v>7.43</v>
      </c>
      <c r="H11" s="1">
        <v>0.72099999999999997</v>
      </c>
      <c r="I11" s="1">
        <v>0.74299999999999999</v>
      </c>
      <c r="J11" s="2">
        <f t="shared" si="1"/>
        <v>1.1931499094567044</v>
      </c>
      <c r="K11" s="2">
        <f t="shared" si="2"/>
        <v>1.5102874540740188</v>
      </c>
    </row>
    <row r="12" spans="1:14" x14ac:dyDescent="0.3">
      <c r="A12" s="2">
        <f t="shared" ca="1" si="0"/>
        <v>1.81</v>
      </c>
      <c r="B12" s="2">
        <f t="shared" ca="1" si="0"/>
        <v>0.62</v>
      </c>
      <c r="D12" s="1">
        <v>8.93</v>
      </c>
      <c r="E12" s="1">
        <v>-2.5</v>
      </c>
      <c r="H12" s="1">
        <v>0.89300000000000002</v>
      </c>
      <c r="I12" s="1">
        <v>-0.25</v>
      </c>
      <c r="J12" s="2">
        <f t="shared" si="1"/>
        <v>1.4371130388273099</v>
      </c>
      <c r="K12" s="2">
        <f t="shared" si="2"/>
        <v>-0.19587345820755198</v>
      </c>
      <c r="M12" s="2">
        <v>-0.38347113132476801</v>
      </c>
      <c r="N12" s="2">
        <f>STDEV(M12:M19)</f>
        <v>0.65347084468913097</v>
      </c>
    </row>
    <row r="13" spans="1:14" x14ac:dyDescent="0.3">
      <c r="A13" s="2">
        <f t="shared" ca="1" si="0"/>
        <v>-3.1</v>
      </c>
      <c r="B13" s="2">
        <f t="shared" ca="1" si="0"/>
        <v>-6.04</v>
      </c>
      <c r="D13" s="1">
        <v>8.7200000000000006</v>
      </c>
      <c r="E13" s="1">
        <v>4.5600000000000005</v>
      </c>
      <c r="H13" s="1">
        <v>0.872</v>
      </c>
      <c r="I13" s="1">
        <v>0.45600000000000002</v>
      </c>
      <c r="J13" s="2">
        <f t="shared" si="1"/>
        <v>1.4073268427995032</v>
      </c>
      <c r="K13" s="2">
        <f t="shared" si="2"/>
        <v>1.0171674320953574</v>
      </c>
      <c r="M13" s="2">
        <v>0.70542931556701705</v>
      </c>
    </row>
    <row r="14" spans="1:14" x14ac:dyDescent="0.3">
      <c r="A14" s="2">
        <f t="shared" ca="1" si="0"/>
        <v>-8.25</v>
      </c>
      <c r="B14" s="2">
        <f t="shared" ca="1" si="0"/>
        <v>7.54</v>
      </c>
      <c r="D14" s="1">
        <v>-4.95</v>
      </c>
      <c r="E14" s="1">
        <v>-8.26</v>
      </c>
      <c r="H14" s="1">
        <v>-0.495</v>
      </c>
      <c r="I14" s="1">
        <v>-0.82599999999999996</v>
      </c>
      <c r="J14" s="2">
        <f t="shared" si="1"/>
        <v>-0.53161267958199343</v>
      </c>
      <c r="K14" s="2">
        <f t="shared" si="2"/>
        <v>-1.1855498786246563</v>
      </c>
      <c r="M14" s="2">
        <v>0.47864496707916299</v>
      </c>
    </row>
    <row r="15" spans="1:14" x14ac:dyDescent="0.3">
      <c r="A15" s="2">
        <f t="shared" ca="1" si="0"/>
        <v>4.05</v>
      </c>
      <c r="B15" s="2">
        <f t="shared" ca="1" si="0"/>
        <v>0.45</v>
      </c>
      <c r="D15" s="1">
        <v>-6.65</v>
      </c>
      <c r="E15" s="1">
        <v>-6.44</v>
      </c>
      <c r="H15" s="1">
        <v>-0.66500000000000004</v>
      </c>
      <c r="I15" s="1">
        <v>-0.64400000000000002</v>
      </c>
      <c r="J15" s="2">
        <f t="shared" si="1"/>
        <v>-0.77273902837852193</v>
      </c>
      <c r="K15" s="2">
        <f t="shared" si="2"/>
        <v>-0.8728396207845297</v>
      </c>
      <c r="M15" s="2">
        <v>0.91424703598022505</v>
      </c>
    </row>
    <row r="16" spans="1:14" x14ac:dyDescent="0.3">
      <c r="A16" s="2">
        <f t="shared" ca="1" si="0"/>
        <v>-7.18</v>
      </c>
      <c r="B16" s="2">
        <f t="shared" ca="1" si="0"/>
        <v>6.72</v>
      </c>
      <c r="D16" s="1">
        <v>5.1100000000000003</v>
      </c>
      <c r="E16" s="1">
        <v>-2.88</v>
      </c>
      <c r="H16" s="1">
        <v>0.51100000000000001</v>
      </c>
      <c r="I16" s="1">
        <v>-0.28799999999999998</v>
      </c>
      <c r="J16" s="2">
        <f t="shared" si="1"/>
        <v>0.89528794917863974</v>
      </c>
      <c r="K16" s="2">
        <f t="shared" si="2"/>
        <v>-0.2611646109434026</v>
      </c>
      <c r="M16" s="2">
        <v>-0.28330624103546098</v>
      </c>
    </row>
    <row r="17" spans="1:13" x14ac:dyDescent="0.3">
      <c r="A17" s="2">
        <f t="shared" ca="1" si="0"/>
        <v>-3.45</v>
      </c>
      <c r="B17" s="2">
        <f t="shared" ca="1" si="0"/>
        <v>-4.37</v>
      </c>
      <c r="D17" s="1">
        <v>-6.26</v>
      </c>
      <c r="E17" s="1">
        <v>4.53</v>
      </c>
      <c r="H17" s="1">
        <v>-0.626</v>
      </c>
      <c r="I17" s="1">
        <v>0.45300000000000001</v>
      </c>
      <c r="J17" s="2">
        <f t="shared" si="1"/>
        <v>-0.71742180718402415</v>
      </c>
      <c r="K17" s="2">
        <f t="shared" si="2"/>
        <v>1.012012867405685</v>
      </c>
      <c r="M17" s="2">
        <v>0.85659480094909701</v>
      </c>
    </row>
    <row r="18" spans="1:13" x14ac:dyDescent="0.3">
      <c r="A18" s="2">
        <f t="shared" ca="1" si="0"/>
        <v>5.95</v>
      </c>
      <c r="B18" s="2">
        <f t="shared" ca="1" si="0"/>
        <v>6.11</v>
      </c>
      <c r="D18" s="1">
        <v>-6.8400000000000007</v>
      </c>
      <c r="E18" s="1">
        <v>-9.4699999999999989</v>
      </c>
      <c r="H18" s="1">
        <v>-0.68400000000000005</v>
      </c>
      <c r="I18" s="1">
        <v>-0.94699999999999995</v>
      </c>
      <c r="J18" s="2">
        <f t="shared" si="1"/>
        <v>-0.79968844383225157</v>
      </c>
      <c r="K18" s="2">
        <f t="shared" si="2"/>
        <v>-1.393450654441444</v>
      </c>
      <c r="M18" s="2">
        <v>-0.82983195781707797</v>
      </c>
    </row>
    <row r="19" spans="1:13" x14ac:dyDescent="0.3">
      <c r="A19" s="2">
        <f t="shared" ca="1" si="0"/>
        <v>-3.83</v>
      </c>
      <c r="B19" s="2">
        <f t="shared" ca="1" si="0"/>
        <v>4.3499999999999996</v>
      </c>
      <c r="D19" s="1">
        <v>3.25</v>
      </c>
      <c r="E19" s="1">
        <v>-3.4499999999999997</v>
      </c>
      <c r="H19" s="1">
        <v>0.32500000000000001</v>
      </c>
      <c r="I19" s="1">
        <v>-0.34499999999999997</v>
      </c>
      <c r="J19" s="2">
        <f t="shared" si="1"/>
        <v>0.63146735578949698</v>
      </c>
      <c r="K19" s="2">
        <f t="shared" si="2"/>
        <v>-0.35910134004717853</v>
      </c>
      <c r="M19" s="4">
        <v>-9.5380783081054701E-2</v>
      </c>
    </row>
    <row r="20" spans="1:13" x14ac:dyDescent="0.3">
      <c r="A20" s="2">
        <f t="shared" ca="1" si="0"/>
        <v>1.68</v>
      </c>
      <c r="B20" s="2">
        <f t="shared" ca="1" si="0"/>
        <v>-5.88</v>
      </c>
      <c r="D20" s="1">
        <v>-4.32</v>
      </c>
      <c r="E20" s="1">
        <v>3.14</v>
      </c>
      <c r="H20" s="1">
        <v>-0.432</v>
      </c>
      <c r="I20" s="1">
        <v>0.314</v>
      </c>
      <c r="J20" s="2">
        <f t="shared" si="1"/>
        <v>-0.44225409149857392</v>
      </c>
      <c r="K20" s="2">
        <f t="shared" si="2"/>
        <v>0.77318470345086288</v>
      </c>
    </row>
    <row r="21" spans="1:13" x14ac:dyDescent="0.3">
      <c r="A21" s="2">
        <f t="shared" ca="1" si="0"/>
        <v>2.46</v>
      </c>
      <c r="B21" s="2">
        <f t="shared" ca="1" si="0"/>
        <v>4.8</v>
      </c>
      <c r="D21" s="1">
        <v>-8.82</v>
      </c>
      <c r="E21" s="1">
        <v>-9.02</v>
      </c>
      <c r="H21" s="1">
        <v>-0.88200000000000001</v>
      </c>
      <c r="I21" s="1">
        <v>-0.90200000000000002</v>
      </c>
      <c r="J21" s="2">
        <f t="shared" si="1"/>
        <v>-1.0805297206658553</v>
      </c>
      <c r="K21" s="2">
        <f t="shared" si="2"/>
        <v>-1.3161321840963578</v>
      </c>
    </row>
    <row r="22" spans="1:13" x14ac:dyDescent="0.3">
      <c r="A22" s="2">
        <f t="shared" ca="1" si="0"/>
        <v>2.06</v>
      </c>
      <c r="B22" s="2">
        <f t="shared" ca="1" si="0"/>
        <v>-8.41</v>
      </c>
      <c r="D22" s="1">
        <v>-5.75</v>
      </c>
      <c r="E22" s="1">
        <v>-5.09</v>
      </c>
      <c r="H22" s="1">
        <v>-0.57499999999999996</v>
      </c>
      <c r="I22" s="1">
        <v>-0.50900000000000001</v>
      </c>
      <c r="J22" s="2">
        <f t="shared" si="1"/>
        <v>-0.64508390254506554</v>
      </c>
      <c r="K22" s="2">
        <f t="shared" si="2"/>
        <v>-0.64088420974927085</v>
      </c>
    </row>
    <row r="26" spans="1:13" ht="16.5" x14ac:dyDescent="0.3">
      <c r="I2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2016-04-26T16:09:10Z</dcterms:created>
  <dcterms:modified xsi:type="dcterms:W3CDTF">2018-08-26T16:03:13Z</dcterms:modified>
</cp:coreProperties>
</file>